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goksuuzunturk/Desktop/Tez/TS-Anomaly-Detection/results/"/>
    </mc:Choice>
  </mc:AlternateContent>
  <xr:revisionPtr revIDLastSave="0" documentId="13_ncr:1_{92CF1DF0-C403-FA4E-A34E-A8BA0F0ECFC9}" xr6:coauthVersionLast="47" xr6:coauthVersionMax="47" xr10:uidLastSave="{00000000-0000-0000-0000-000000000000}"/>
  <bookViews>
    <workbookView xWindow="0" yWindow="720" windowWidth="29400" windowHeight="18400" activeTab="4" xr2:uid="{00000000-000D-0000-FFFF-FFFF00000000}"/>
  </bookViews>
  <sheets>
    <sheet name="AD Level 1" sheetId="1" r:id="rId1"/>
    <sheet name="AD Level 2" sheetId="2" r:id="rId2"/>
    <sheet name="AD Level 3" sheetId="3" r:id="rId3"/>
    <sheet name="AD Level 4" sheetId="4" r:id="rId4"/>
    <sheet name="Overall AD Performanc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5" l="1"/>
  <c r="C20" i="5"/>
  <c r="I23" i="5"/>
  <c r="J23" i="5"/>
  <c r="K23" i="5"/>
  <c r="E23" i="5"/>
  <c r="F23" i="5"/>
  <c r="G23" i="5"/>
  <c r="H23" i="5"/>
  <c r="C23" i="5"/>
  <c r="D23" i="5"/>
  <c r="B23" i="5"/>
  <c r="C24" i="5"/>
  <c r="D24" i="5"/>
  <c r="E24" i="5"/>
  <c r="F24" i="5"/>
  <c r="G24" i="5"/>
  <c r="H24" i="5"/>
  <c r="I24" i="5"/>
  <c r="J24" i="5"/>
  <c r="K24" i="5"/>
  <c r="C25" i="5"/>
  <c r="D25" i="5"/>
  <c r="E25" i="5"/>
  <c r="F25" i="5"/>
  <c r="G25" i="5"/>
  <c r="H25" i="5"/>
  <c r="I25" i="5"/>
  <c r="J25" i="5"/>
  <c r="K25" i="5"/>
  <c r="C26" i="5"/>
  <c r="D26" i="5"/>
  <c r="E26" i="5"/>
  <c r="F26" i="5"/>
  <c r="G26" i="5"/>
  <c r="H26" i="5"/>
  <c r="I26" i="5"/>
  <c r="J26" i="5"/>
  <c r="K26" i="5"/>
  <c r="B24" i="5"/>
  <c r="B25" i="5"/>
  <c r="B26" i="5"/>
  <c r="E20" i="5"/>
  <c r="F20" i="5"/>
  <c r="G20" i="5"/>
  <c r="H20" i="5"/>
  <c r="I20" i="5"/>
  <c r="J20" i="5"/>
  <c r="E21" i="5"/>
  <c r="F21" i="5"/>
  <c r="G21" i="5"/>
  <c r="H21" i="5"/>
  <c r="I21" i="5"/>
  <c r="J21" i="5"/>
  <c r="E22" i="5"/>
  <c r="G22" i="5"/>
  <c r="H22" i="5"/>
  <c r="I22" i="5"/>
  <c r="J22" i="5"/>
  <c r="D21" i="5"/>
  <c r="D22" i="5"/>
  <c r="C21" i="5"/>
  <c r="C22" i="5"/>
  <c r="B22" i="5"/>
  <c r="B21" i="5"/>
  <c r="D20" i="5"/>
  <c r="B20" i="5"/>
</calcChain>
</file>

<file path=xl/sharedStrings.xml><?xml version="1.0" encoding="utf-8"?>
<sst xmlns="http://schemas.openxmlformats.org/spreadsheetml/2006/main" count="270" uniqueCount="22">
  <si>
    <t>Model Name</t>
  </si>
  <si>
    <t>F1</t>
  </si>
  <si>
    <t>Precision</t>
  </si>
  <si>
    <t>Recall</t>
  </si>
  <si>
    <t>T1 Recall</t>
  </si>
  <si>
    <t>T2 Recall</t>
  </si>
  <si>
    <t>T3 Recall</t>
  </si>
  <si>
    <t>T4 Recall</t>
  </si>
  <si>
    <t>T5 Recall</t>
  </si>
  <si>
    <t>T6 Recall</t>
  </si>
  <si>
    <t>T7 Recall</t>
  </si>
  <si>
    <t>Train</t>
  </si>
  <si>
    <t>Val</t>
  </si>
  <si>
    <t>Test</t>
  </si>
  <si>
    <t>mode1</t>
  </si>
  <si>
    <t>mode2</t>
  </si>
  <si>
    <t>mode3</t>
  </si>
  <si>
    <t>mode4</t>
  </si>
  <si>
    <t>LSTM</t>
  </si>
  <si>
    <t>AE</t>
  </si>
  <si>
    <t>BiGAN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</si>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</sst>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26"/>
      <color theme="1"/>
      <name val="Calibri (Gövde)"/>
      <charset val="162"/>
    </font>
    <font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2" fontId="0" fillId="0" borderId="0" xfId="0" applyNumberFormat="1"/>
    <xf numFmtId="43" fontId="3" fillId="0" borderId="0" xfId="0" applyNumberFormat="1" applyFont="1" applyAlignment="1">
      <alignment horizontal="left" vertical="top"/>
    </xf>
    <xf numFmtId="43" fontId="0" fillId="0" borderId="0" xfId="0" quotePrefix="1" applyNumberFormat="1" applyAlignment="1">
      <alignment horizontal="right"/>
    </xf>
    <xf numFmtId="43" fontId="0" fillId="0" borderId="0" xfId="0" applyNumberFormat="1"/>
    <xf numFmtId="43" fontId="0" fillId="0" borderId="0" xfId="1" quotePrefix="1" applyNumberFormat="1" applyFont="1" applyAlignment="1">
      <alignment horizontal="right"/>
    </xf>
    <xf numFmtId="2" fontId="1" fillId="0" borderId="1" xfId="0" applyNumberFormat="1" applyFont="1" applyBorder="1" applyAlignment="1">
      <alignment horizontal="center" vertical="top"/>
    </xf>
    <xf numFmtId="2" fontId="2" fillId="0" borderId="0" xfId="0" applyNumberFormat="1" applyFont="1"/>
    <xf numFmtId="2" fontId="3" fillId="0" borderId="0" xfId="0" applyNumberFormat="1" applyFont="1" applyAlignment="1">
      <alignment horizontal="left" vertical="top"/>
    </xf>
    <xf numFmtId="2" fontId="0" fillId="0" borderId="0" xfId="0" applyNumberFormat="1" applyAlignment="1">
      <alignment horizontal="right"/>
    </xf>
    <xf numFmtId="43" fontId="1" fillId="0" borderId="1" xfId="0" applyNumberFormat="1" applyFont="1" applyBorder="1" applyAlignment="1">
      <alignment horizontal="center" vertical="top"/>
    </xf>
    <xf numFmtId="43" fontId="2" fillId="0" borderId="0" xfId="0" applyNumberFormat="1" applyFont="1"/>
  </cellXfs>
  <cellStyles count="2">
    <cellStyle name="Normal" xfId="0" builtinId="0"/>
    <cellStyle name="Virgül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workbookViewId="0">
      <selection activeCell="N16" sqref="N16"/>
    </sheetView>
  </sheetViews>
  <sheetFormatPr baseColWidth="10" defaultColWidth="8.83203125" defaultRowHeight="15" x14ac:dyDescent="0.2"/>
  <cols>
    <col min="1" max="1" width="11.1640625" bestFit="1" customWidth="1"/>
  </cols>
  <sheetData>
    <row r="1" spans="1:11" ht="34" x14ac:dyDescent="0.4">
      <c r="A1" s="1" t="s">
        <v>11</v>
      </c>
    </row>
    <row r="3" spans="1:11" x14ac:dyDescent="0.2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</row>
    <row r="4" spans="1:11" x14ac:dyDescent="0.2">
      <c r="A4" s="2" t="s">
        <v>14</v>
      </c>
      <c r="B4" s="2">
        <v>0.77441000000000004</v>
      </c>
      <c r="C4" s="2">
        <v>0.69828999999999997</v>
      </c>
      <c r="D4" s="2">
        <v>0.86916000000000004</v>
      </c>
      <c r="E4" s="2">
        <v>1</v>
      </c>
      <c r="F4" s="2">
        <v>1</v>
      </c>
      <c r="G4" s="2">
        <v>1</v>
      </c>
      <c r="H4" s="2">
        <v>0.88461999999999996</v>
      </c>
      <c r="I4" s="2">
        <v>0.33333000000000002</v>
      </c>
      <c r="J4" s="2">
        <v>0.7</v>
      </c>
      <c r="K4" s="2">
        <v>0.8</v>
      </c>
    </row>
    <row r="5" spans="1:11" x14ac:dyDescent="0.2">
      <c r="A5" s="2" t="s">
        <v>15</v>
      </c>
      <c r="B5" s="2">
        <v>0.77239000000000002</v>
      </c>
      <c r="C5" s="2">
        <v>0.69499999999999995</v>
      </c>
      <c r="D5" s="2">
        <v>0.86916000000000004</v>
      </c>
      <c r="E5" s="2">
        <v>1</v>
      </c>
      <c r="F5" s="2">
        <v>1</v>
      </c>
      <c r="G5" s="2">
        <v>1</v>
      </c>
      <c r="H5" s="2">
        <v>0.84614999999999996</v>
      </c>
      <c r="I5" s="2">
        <v>0.33333000000000002</v>
      </c>
      <c r="J5" s="2">
        <v>0.8</v>
      </c>
      <c r="K5" s="2">
        <v>0.8</v>
      </c>
    </row>
    <row r="6" spans="1:11" x14ac:dyDescent="0.2">
      <c r="A6" s="2" t="s">
        <v>16</v>
      </c>
      <c r="B6" s="2">
        <v>0.76900000000000002</v>
      </c>
      <c r="C6" s="2">
        <v>0.68376999999999999</v>
      </c>
      <c r="D6" s="2">
        <v>0.87849999999999995</v>
      </c>
      <c r="E6" s="2">
        <v>1</v>
      </c>
      <c r="F6" s="2">
        <v>1</v>
      </c>
      <c r="G6" s="2">
        <v>1</v>
      </c>
      <c r="H6" s="2">
        <v>0.88461999999999996</v>
      </c>
      <c r="I6" s="2">
        <v>0.33333000000000002</v>
      </c>
      <c r="J6" s="2">
        <v>0.8</v>
      </c>
      <c r="K6" s="2">
        <v>0.8</v>
      </c>
    </row>
    <row r="7" spans="1:11" x14ac:dyDescent="0.2">
      <c r="A7" s="2" t="s">
        <v>17</v>
      </c>
      <c r="B7" s="2">
        <v>0.76727000000000001</v>
      </c>
      <c r="C7" s="2">
        <v>0.68676000000000004</v>
      </c>
      <c r="D7" s="2">
        <v>0.86916000000000004</v>
      </c>
      <c r="E7" s="2">
        <v>1</v>
      </c>
      <c r="F7" s="2">
        <v>1</v>
      </c>
      <c r="G7" s="2">
        <v>1</v>
      </c>
      <c r="H7" s="2">
        <v>0.84614999999999996</v>
      </c>
      <c r="I7" s="2">
        <v>0.33333000000000002</v>
      </c>
      <c r="J7" s="2">
        <v>0.8</v>
      </c>
      <c r="K7" s="2">
        <v>0.8</v>
      </c>
    </row>
    <row r="8" spans="1:1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34" x14ac:dyDescent="0.4">
      <c r="A9" s="8" t="s">
        <v>12</v>
      </c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">
      <c r="A11" s="7" t="s">
        <v>0</v>
      </c>
      <c r="B11" s="7" t="s">
        <v>1</v>
      </c>
      <c r="C11" s="7" t="s">
        <v>2</v>
      </c>
      <c r="D11" s="7" t="s">
        <v>3</v>
      </c>
      <c r="E11" s="7" t="s">
        <v>4</v>
      </c>
      <c r="F11" s="7" t="s">
        <v>5</v>
      </c>
      <c r="G11" s="7" t="s">
        <v>6</v>
      </c>
      <c r="H11" s="7" t="s">
        <v>7</v>
      </c>
      <c r="I11" s="7" t="s">
        <v>8</v>
      </c>
      <c r="J11" s="7" t="s">
        <v>9</v>
      </c>
      <c r="K11" s="7" t="s">
        <v>10</v>
      </c>
    </row>
    <row r="12" spans="1:11" x14ac:dyDescent="0.2">
      <c r="A12" s="2" t="s">
        <v>14</v>
      </c>
      <c r="B12" s="2">
        <v>0.68769000000000002</v>
      </c>
      <c r="C12" s="2">
        <v>0.63</v>
      </c>
      <c r="D12" s="2">
        <v>0.75700999999999996</v>
      </c>
      <c r="E12" s="2">
        <v>1</v>
      </c>
      <c r="F12" s="2">
        <v>1</v>
      </c>
      <c r="G12" s="2">
        <v>0.875</v>
      </c>
      <c r="H12" s="2">
        <v>0.65385000000000004</v>
      </c>
      <c r="I12" s="2">
        <v>0.33333000000000002</v>
      </c>
      <c r="J12" s="2">
        <v>0.4</v>
      </c>
      <c r="K12" s="2">
        <v>0.7</v>
      </c>
    </row>
    <row r="13" spans="1:11" x14ac:dyDescent="0.2">
      <c r="A13" s="2" t="s">
        <v>15</v>
      </c>
      <c r="B13" s="2">
        <v>0.70482999999999996</v>
      </c>
      <c r="C13" s="2">
        <v>0.67425000000000002</v>
      </c>
      <c r="D13" s="2">
        <v>0.73831999999999998</v>
      </c>
      <c r="E13" s="2">
        <v>1</v>
      </c>
      <c r="F13" s="2">
        <v>1</v>
      </c>
      <c r="G13" s="2">
        <v>0.875</v>
      </c>
      <c r="H13" s="2">
        <v>0.61538000000000004</v>
      </c>
      <c r="I13" s="2">
        <v>0.33333000000000002</v>
      </c>
      <c r="J13" s="2">
        <v>0.4</v>
      </c>
      <c r="K13" s="2">
        <v>0.6</v>
      </c>
    </row>
    <row r="14" spans="1:11" x14ac:dyDescent="0.2">
      <c r="A14" s="2" t="s">
        <v>16</v>
      </c>
      <c r="B14" s="2">
        <v>0.72019999999999995</v>
      </c>
      <c r="C14" s="2">
        <v>0.68681000000000003</v>
      </c>
      <c r="D14" s="2">
        <v>0.75700999999999996</v>
      </c>
      <c r="E14" s="2">
        <v>1</v>
      </c>
      <c r="F14" s="2">
        <v>1</v>
      </c>
      <c r="G14" s="2">
        <v>0.875</v>
      </c>
      <c r="H14" s="2">
        <v>0.69230999999999998</v>
      </c>
      <c r="I14" s="2">
        <v>0.22222</v>
      </c>
      <c r="J14" s="2">
        <v>0.4</v>
      </c>
      <c r="K14" s="2">
        <v>0.7</v>
      </c>
    </row>
    <row r="15" spans="1:11" x14ac:dyDescent="0.2">
      <c r="A15" s="2" t="s">
        <v>17</v>
      </c>
      <c r="B15" s="2">
        <v>0.71103000000000005</v>
      </c>
      <c r="C15" s="2">
        <v>0.68569000000000002</v>
      </c>
      <c r="D15" s="2">
        <v>0.73831999999999998</v>
      </c>
      <c r="E15" s="2">
        <v>1</v>
      </c>
      <c r="F15" s="2">
        <v>1</v>
      </c>
      <c r="G15" s="2">
        <v>0.875</v>
      </c>
      <c r="H15" s="2">
        <v>0.65385000000000004</v>
      </c>
      <c r="I15" s="2">
        <v>0.22222</v>
      </c>
      <c r="J15" s="2">
        <v>0.4</v>
      </c>
      <c r="K15" s="2">
        <v>0.6</v>
      </c>
    </row>
    <row r="16" spans="1:1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34" x14ac:dyDescent="0.4">
      <c r="A17" s="8" t="s">
        <v>13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">
      <c r="A19" s="7" t="s">
        <v>0</v>
      </c>
      <c r="B19" s="7" t="s">
        <v>1</v>
      </c>
      <c r="C19" s="7" t="s">
        <v>2</v>
      </c>
      <c r="D19" s="7" t="s">
        <v>3</v>
      </c>
      <c r="E19" s="7" t="s">
        <v>4</v>
      </c>
      <c r="F19" s="7" t="s">
        <v>5</v>
      </c>
      <c r="G19" s="7" t="s">
        <v>6</v>
      </c>
      <c r="H19" s="7" t="s">
        <v>7</v>
      </c>
      <c r="I19" s="7" t="s">
        <v>8</v>
      </c>
      <c r="J19" s="7" t="s">
        <v>9</v>
      </c>
      <c r="K19" s="7" t="s">
        <v>10</v>
      </c>
    </row>
    <row r="20" spans="1:11" x14ac:dyDescent="0.2">
      <c r="A20" s="9" t="s">
        <v>18</v>
      </c>
      <c r="B20" s="10">
        <v>0.77</v>
      </c>
      <c r="C20" s="10">
        <v>0.67</v>
      </c>
      <c r="D20" s="10">
        <v>0.96</v>
      </c>
      <c r="E20" s="10">
        <v>1</v>
      </c>
      <c r="F20" s="10">
        <v>1</v>
      </c>
      <c r="G20" s="10">
        <v>1</v>
      </c>
      <c r="H20" s="10">
        <v>1</v>
      </c>
      <c r="I20" s="10">
        <v>1</v>
      </c>
      <c r="J20" s="10">
        <v>0.67</v>
      </c>
      <c r="K20" s="10" t="s">
        <v>21</v>
      </c>
    </row>
    <row r="21" spans="1:11" x14ac:dyDescent="0.2">
      <c r="A21" s="9" t="s">
        <v>19</v>
      </c>
      <c r="B21" s="10">
        <v>0.59</v>
      </c>
      <c r="C21" s="10">
        <v>0.54</v>
      </c>
      <c r="D21" s="10">
        <v>0.76</v>
      </c>
      <c r="E21" s="10">
        <v>1</v>
      </c>
      <c r="F21" s="10">
        <v>0.88</v>
      </c>
      <c r="G21" s="10">
        <v>1</v>
      </c>
      <c r="H21" s="10">
        <v>0.56999999999999995</v>
      </c>
      <c r="I21" s="10">
        <v>1</v>
      </c>
      <c r="J21" s="10">
        <v>0.31</v>
      </c>
      <c r="K21" s="10" t="s">
        <v>21</v>
      </c>
    </row>
    <row r="22" spans="1:11" x14ac:dyDescent="0.2">
      <c r="A22" s="9" t="s">
        <v>20</v>
      </c>
      <c r="B22" s="10">
        <v>0.28000000000000003</v>
      </c>
      <c r="C22" s="10">
        <v>0.9</v>
      </c>
      <c r="D22" s="10">
        <v>0.19</v>
      </c>
      <c r="E22" s="10">
        <v>0.59</v>
      </c>
      <c r="F22" s="10">
        <v>0</v>
      </c>
      <c r="G22" s="10">
        <v>0</v>
      </c>
      <c r="H22" s="10">
        <v>0.1</v>
      </c>
      <c r="I22" s="10">
        <v>0.17</v>
      </c>
      <c r="J22" s="10">
        <v>0.06</v>
      </c>
      <c r="K22" s="10" t="s">
        <v>21</v>
      </c>
    </row>
    <row r="23" spans="1:11" x14ac:dyDescent="0.2">
      <c r="A23" s="2" t="s">
        <v>14</v>
      </c>
      <c r="B23" s="2">
        <v>0.71204999999999996</v>
      </c>
      <c r="C23" s="2">
        <v>0.63334999999999997</v>
      </c>
      <c r="D23" s="2">
        <v>0.81308000000000002</v>
      </c>
      <c r="E23" s="2">
        <v>1</v>
      </c>
      <c r="F23" s="2">
        <v>1</v>
      </c>
      <c r="G23" s="2">
        <v>0.875</v>
      </c>
      <c r="H23" s="2">
        <v>0.61538000000000004</v>
      </c>
      <c r="I23" s="2">
        <v>0.77778000000000003</v>
      </c>
      <c r="J23" s="2">
        <v>0.7</v>
      </c>
      <c r="K23" s="2">
        <v>0.7</v>
      </c>
    </row>
    <row r="24" spans="1:11" x14ac:dyDescent="0.2">
      <c r="A24" s="2" t="s">
        <v>15</v>
      </c>
      <c r="B24" s="2">
        <v>0.72394999999999998</v>
      </c>
      <c r="C24" s="2">
        <v>0.66498999999999997</v>
      </c>
      <c r="D24" s="2">
        <v>0.79439000000000004</v>
      </c>
      <c r="E24" s="2">
        <v>1</v>
      </c>
      <c r="F24" s="2">
        <v>1</v>
      </c>
      <c r="G24" s="2">
        <v>0.9375</v>
      </c>
      <c r="H24" s="2">
        <v>0.5</v>
      </c>
      <c r="I24" s="2">
        <v>0.77778000000000003</v>
      </c>
      <c r="J24" s="2">
        <v>0.7</v>
      </c>
      <c r="K24" s="2">
        <v>0.7</v>
      </c>
    </row>
    <row r="25" spans="1:11" x14ac:dyDescent="0.2">
      <c r="A25" s="2" t="s">
        <v>16</v>
      </c>
      <c r="B25" s="2">
        <v>0.67413999999999996</v>
      </c>
      <c r="C25" s="2">
        <v>0.58053999999999994</v>
      </c>
      <c r="D25" s="2">
        <v>0.80374000000000001</v>
      </c>
      <c r="E25" s="2">
        <v>1</v>
      </c>
      <c r="F25" s="2">
        <v>1</v>
      </c>
      <c r="G25" s="2">
        <v>0.8125</v>
      </c>
      <c r="H25" s="2">
        <v>0.61538000000000004</v>
      </c>
      <c r="I25" s="2">
        <v>0.77778000000000003</v>
      </c>
      <c r="J25" s="2">
        <v>0.7</v>
      </c>
      <c r="K25" s="2">
        <v>0.7</v>
      </c>
    </row>
    <row r="26" spans="1:11" x14ac:dyDescent="0.2">
      <c r="A26" s="2" t="s">
        <v>17</v>
      </c>
      <c r="B26" s="2">
        <v>0.71567000000000003</v>
      </c>
      <c r="C26" s="2">
        <v>0.65114000000000005</v>
      </c>
      <c r="D26" s="2">
        <v>0.79439000000000004</v>
      </c>
      <c r="E26" s="2">
        <v>1</v>
      </c>
      <c r="F26" s="2">
        <v>1</v>
      </c>
      <c r="G26" s="2">
        <v>0.9375</v>
      </c>
      <c r="H26" s="2">
        <v>0.5</v>
      </c>
      <c r="I26" s="2">
        <v>0.77778000000000003</v>
      </c>
      <c r="J26" s="2">
        <v>0.7</v>
      </c>
      <c r="K26" s="2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6"/>
  <sheetViews>
    <sheetView workbookViewId="0">
      <selection activeCell="J23" sqref="J23"/>
    </sheetView>
  </sheetViews>
  <sheetFormatPr baseColWidth="10" defaultColWidth="8.83203125" defaultRowHeight="15" x14ac:dyDescent="0.2"/>
  <cols>
    <col min="1" max="1" width="11.1640625" bestFit="1" customWidth="1"/>
  </cols>
  <sheetData>
    <row r="1" spans="1:11" ht="34" x14ac:dyDescent="0.4">
      <c r="A1" s="1" t="s">
        <v>11</v>
      </c>
    </row>
    <row r="3" spans="1:11" x14ac:dyDescent="0.2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</row>
    <row r="4" spans="1:11" x14ac:dyDescent="0.2">
      <c r="A4" s="2" t="s">
        <v>14</v>
      </c>
      <c r="B4" s="2">
        <v>0.74682999999999999</v>
      </c>
      <c r="C4" s="2">
        <v>0.69828999999999997</v>
      </c>
      <c r="D4" s="2">
        <v>0.80262</v>
      </c>
      <c r="E4" s="2">
        <v>0.96030000000000004</v>
      </c>
      <c r="F4" s="2">
        <v>0.9819</v>
      </c>
      <c r="G4" s="2">
        <v>0.93715000000000004</v>
      </c>
      <c r="H4" s="2">
        <v>0.83436999999999995</v>
      </c>
      <c r="I4" s="2">
        <v>0.22778000000000001</v>
      </c>
      <c r="J4" s="2">
        <v>0.50436999999999999</v>
      </c>
      <c r="K4" s="2">
        <v>0.73760999999999999</v>
      </c>
    </row>
    <row r="5" spans="1:11" x14ac:dyDescent="0.2">
      <c r="A5" s="2" t="s">
        <v>15</v>
      </c>
      <c r="B5" s="2">
        <v>0.73946999999999996</v>
      </c>
      <c r="C5" s="2">
        <v>0.69499999999999995</v>
      </c>
      <c r="D5" s="2">
        <v>0.79000999999999999</v>
      </c>
      <c r="E5" s="2">
        <v>0.95806000000000002</v>
      </c>
      <c r="F5" s="2">
        <v>0.97143000000000002</v>
      </c>
      <c r="G5" s="2">
        <v>0.93772999999999995</v>
      </c>
      <c r="H5" s="2">
        <v>0.79332000000000003</v>
      </c>
      <c r="I5" s="2">
        <v>0.20555999999999999</v>
      </c>
      <c r="J5" s="2">
        <v>0.51371999999999995</v>
      </c>
      <c r="K5" s="2">
        <v>0.73297000000000001</v>
      </c>
    </row>
    <row r="6" spans="1:11" x14ac:dyDescent="0.2">
      <c r="A6" s="2" t="s">
        <v>16</v>
      </c>
      <c r="B6" s="2">
        <v>0.73921999999999999</v>
      </c>
      <c r="C6" s="2">
        <v>0.68376999999999999</v>
      </c>
      <c r="D6" s="2">
        <v>0.80447000000000002</v>
      </c>
      <c r="E6" s="2">
        <v>0.96</v>
      </c>
      <c r="F6" s="2">
        <v>0.98148999999999997</v>
      </c>
      <c r="G6" s="2">
        <v>0.93339000000000005</v>
      </c>
      <c r="H6" s="2">
        <v>0.82852000000000003</v>
      </c>
      <c r="I6" s="2">
        <v>0.22778000000000001</v>
      </c>
      <c r="J6" s="2">
        <v>0.59726000000000001</v>
      </c>
      <c r="K6" s="2">
        <v>0.68691999999999998</v>
      </c>
    </row>
    <row r="7" spans="1:11" x14ac:dyDescent="0.2">
      <c r="A7" s="2" t="s">
        <v>17</v>
      </c>
      <c r="B7" s="2">
        <v>0.73397999999999997</v>
      </c>
      <c r="C7" s="2">
        <v>0.68676000000000004</v>
      </c>
      <c r="D7" s="2">
        <v>0.78817999999999999</v>
      </c>
      <c r="E7" s="2">
        <v>0.95806000000000002</v>
      </c>
      <c r="F7" s="2">
        <v>0.91566999999999998</v>
      </c>
      <c r="G7" s="2">
        <v>0.94094999999999995</v>
      </c>
      <c r="H7" s="2">
        <v>0.7883</v>
      </c>
      <c r="I7" s="2">
        <v>0.20555999999999999</v>
      </c>
      <c r="J7" s="2">
        <v>0.57754000000000005</v>
      </c>
      <c r="K7" s="2">
        <v>0.69650999999999996</v>
      </c>
    </row>
    <row r="8" spans="1:1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34" x14ac:dyDescent="0.4">
      <c r="A9" s="8" t="s">
        <v>12</v>
      </c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">
      <c r="A11" s="7" t="s">
        <v>0</v>
      </c>
      <c r="B11" s="7" t="s">
        <v>1</v>
      </c>
      <c r="C11" s="7" t="s">
        <v>2</v>
      </c>
      <c r="D11" s="7" t="s">
        <v>3</v>
      </c>
      <c r="E11" s="7" t="s">
        <v>4</v>
      </c>
      <c r="F11" s="7" t="s">
        <v>5</v>
      </c>
      <c r="G11" s="7" t="s">
        <v>6</v>
      </c>
      <c r="H11" s="7" t="s">
        <v>7</v>
      </c>
      <c r="I11" s="7" t="s">
        <v>8</v>
      </c>
      <c r="J11" s="7" t="s">
        <v>9</v>
      </c>
      <c r="K11" s="7" t="s">
        <v>10</v>
      </c>
    </row>
    <row r="12" spans="1:11" x14ac:dyDescent="0.2">
      <c r="A12" s="2" t="s">
        <v>14</v>
      </c>
      <c r="B12" s="2">
        <v>0.65544000000000002</v>
      </c>
      <c r="C12" s="2">
        <v>0.63</v>
      </c>
      <c r="D12" s="2">
        <v>0.68301000000000001</v>
      </c>
      <c r="E12" s="2">
        <v>0.96543999999999996</v>
      </c>
      <c r="F12" s="2">
        <v>0.97487000000000001</v>
      </c>
      <c r="G12" s="2">
        <v>0.69572000000000001</v>
      </c>
      <c r="H12" s="2">
        <v>0.60579000000000005</v>
      </c>
      <c r="I12" s="2">
        <v>0.33333000000000002</v>
      </c>
      <c r="J12" s="2">
        <v>0.31061</v>
      </c>
      <c r="K12" s="2">
        <v>0.52720999999999996</v>
      </c>
    </row>
    <row r="13" spans="1:11" x14ac:dyDescent="0.2">
      <c r="A13" s="2" t="s">
        <v>15</v>
      </c>
      <c r="B13" s="2">
        <v>0.67037000000000002</v>
      </c>
      <c r="C13" s="2">
        <v>0.67425000000000002</v>
      </c>
      <c r="D13" s="2">
        <v>0.66652</v>
      </c>
      <c r="E13" s="2">
        <v>0.96282000000000001</v>
      </c>
      <c r="F13" s="2">
        <v>0.96260999999999997</v>
      </c>
      <c r="G13" s="2">
        <v>0.69762000000000002</v>
      </c>
      <c r="H13" s="2">
        <v>0.56030000000000002</v>
      </c>
      <c r="I13" s="2">
        <v>0.33333000000000002</v>
      </c>
      <c r="J13" s="2">
        <v>0.29318</v>
      </c>
      <c r="K13" s="2">
        <v>0.49963000000000002</v>
      </c>
    </row>
    <row r="14" spans="1:11" x14ac:dyDescent="0.2">
      <c r="A14" s="2" t="s">
        <v>16</v>
      </c>
      <c r="B14" s="2">
        <v>0.67432000000000003</v>
      </c>
      <c r="C14" s="2">
        <v>0.68681000000000003</v>
      </c>
      <c r="D14" s="2">
        <v>0.66227999999999998</v>
      </c>
      <c r="E14" s="2">
        <v>0.94757999999999998</v>
      </c>
      <c r="F14" s="2">
        <v>0.96465999999999996</v>
      </c>
      <c r="G14" s="2">
        <v>0.68984000000000001</v>
      </c>
      <c r="H14" s="2">
        <v>0.64439000000000002</v>
      </c>
      <c r="I14" s="2">
        <v>0.19444</v>
      </c>
      <c r="J14" s="2">
        <v>0.31061</v>
      </c>
      <c r="K14" s="2">
        <v>0.39839000000000002</v>
      </c>
    </row>
    <row r="15" spans="1:11" x14ac:dyDescent="0.2">
      <c r="A15" s="2" t="s">
        <v>17</v>
      </c>
      <c r="B15" s="2">
        <v>0.66620000000000001</v>
      </c>
      <c r="C15" s="2">
        <v>0.68569000000000002</v>
      </c>
      <c r="D15" s="2">
        <v>0.64778999999999998</v>
      </c>
      <c r="E15" s="2">
        <v>0.94547999999999999</v>
      </c>
      <c r="F15" s="2">
        <v>0.95750999999999997</v>
      </c>
      <c r="G15" s="2">
        <v>0.69462000000000002</v>
      </c>
      <c r="H15" s="2">
        <v>0.59889999999999999</v>
      </c>
      <c r="I15" s="2">
        <v>0.22222</v>
      </c>
      <c r="J15" s="2">
        <v>0.27651999999999999</v>
      </c>
      <c r="K15" s="2">
        <v>0.37413999999999997</v>
      </c>
    </row>
    <row r="16" spans="1:1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34" x14ac:dyDescent="0.4">
      <c r="A17" s="8" t="s">
        <v>13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">
      <c r="A19" s="7" t="s">
        <v>0</v>
      </c>
      <c r="B19" s="7" t="s">
        <v>1</v>
      </c>
      <c r="C19" s="7" t="s">
        <v>2</v>
      </c>
      <c r="D19" s="7" t="s">
        <v>3</v>
      </c>
      <c r="E19" s="7" t="s">
        <v>4</v>
      </c>
      <c r="F19" s="7" t="s">
        <v>5</v>
      </c>
      <c r="G19" s="7" t="s">
        <v>6</v>
      </c>
      <c r="H19" s="7" t="s">
        <v>7</v>
      </c>
      <c r="I19" s="7" t="s">
        <v>8</v>
      </c>
      <c r="J19" s="7" t="s">
        <v>9</v>
      </c>
      <c r="K19" s="7" t="s">
        <v>10</v>
      </c>
    </row>
    <row r="20" spans="1:11" x14ac:dyDescent="0.2">
      <c r="A20" s="9" t="s">
        <v>18</v>
      </c>
      <c r="B20" s="10">
        <v>0.38</v>
      </c>
      <c r="C20" s="10">
        <v>0.67</v>
      </c>
      <c r="D20" s="10">
        <v>0.28999999999999998</v>
      </c>
      <c r="E20" s="10">
        <v>0.42</v>
      </c>
      <c r="F20" s="10">
        <v>0.11</v>
      </c>
      <c r="G20" s="10">
        <v>0.55000000000000004</v>
      </c>
      <c r="H20" s="10">
        <v>0.16</v>
      </c>
      <c r="I20" s="10">
        <v>0.6</v>
      </c>
      <c r="J20" s="10">
        <v>0.1</v>
      </c>
      <c r="K20" s="10" t="s">
        <v>21</v>
      </c>
    </row>
    <row r="21" spans="1:11" x14ac:dyDescent="0.2">
      <c r="A21" s="9" t="s">
        <v>19</v>
      </c>
      <c r="B21" s="10">
        <v>0.52</v>
      </c>
      <c r="C21" s="10">
        <v>0.54</v>
      </c>
      <c r="D21" s="10">
        <v>0.6</v>
      </c>
      <c r="E21" s="10">
        <v>0.97</v>
      </c>
      <c r="F21" s="10">
        <v>0.15</v>
      </c>
      <c r="G21" s="10">
        <v>0.67</v>
      </c>
      <c r="H21" s="10">
        <v>0.4</v>
      </c>
      <c r="I21" s="10">
        <v>1</v>
      </c>
      <c r="J21" s="10">
        <v>0.15</v>
      </c>
      <c r="K21" s="10" t="s">
        <v>21</v>
      </c>
    </row>
    <row r="22" spans="1:11" x14ac:dyDescent="0.2">
      <c r="A22" s="9" t="s">
        <v>20</v>
      </c>
      <c r="B22" s="10">
        <v>0.17</v>
      </c>
      <c r="C22" s="10">
        <v>0.9</v>
      </c>
      <c r="D22" s="10">
        <v>0.1</v>
      </c>
      <c r="E22" s="10">
        <v>0.3</v>
      </c>
      <c r="F22" s="10">
        <v>0</v>
      </c>
      <c r="G22" s="10">
        <v>0</v>
      </c>
      <c r="H22" s="10">
        <v>0.06</v>
      </c>
      <c r="I22" s="10">
        <v>0.17</v>
      </c>
      <c r="J22" s="10">
        <v>0</v>
      </c>
      <c r="K22" s="10" t="s">
        <v>21</v>
      </c>
    </row>
    <row r="23" spans="1:11" x14ac:dyDescent="0.2">
      <c r="A23" s="2" t="s">
        <v>14</v>
      </c>
      <c r="B23" s="2">
        <v>0.67329000000000006</v>
      </c>
      <c r="C23" s="2">
        <v>0.63334999999999997</v>
      </c>
      <c r="D23" s="2">
        <v>0.71860000000000002</v>
      </c>
      <c r="E23" s="2">
        <v>0.96348</v>
      </c>
      <c r="F23" s="2">
        <v>0.97502</v>
      </c>
      <c r="G23" s="2">
        <v>0.71118999999999999</v>
      </c>
      <c r="H23" s="2">
        <v>0.52583999999999997</v>
      </c>
      <c r="I23" s="2">
        <v>0.64444000000000001</v>
      </c>
      <c r="J23" s="2">
        <v>0.57325000000000004</v>
      </c>
      <c r="K23" s="2">
        <v>0.55405000000000004</v>
      </c>
    </row>
    <row r="24" spans="1:11" x14ac:dyDescent="0.2">
      <c r="A24" s="2" t="s">
        <v>15</v>
      </c>
      <c r="B24" s="2">
        <v>0.67535999999999996</v>
      </c>
      <c r="C24" s="2">
        <v>0.66498999999999997</v>
      </c>
      <c r="D24" s="2">
        <v>0.68606999999999996</v>
      </c>
      <c r="E24" s="2">
        <v>0.96196000000000004</v>
      </c>
      <c r="F24" s="2">
        <v>0.96362999999999999</v>
      </c>
      <c r="G24" s="2">
        <v>0.73938999999999999</v>
      </c>
      <c r="H24" s="2">
        <v>0.40055000000000002</v>
      </c>
      <c r="I24" s="2">
        <v>0.6</v>
      </c>
      <c r="J24" s="2">
        <v>0.55395000000000005</v>
      </c>
      <c r="K24" s="2">
        <v>0.55830000000000002</v>
      </c>
    </row>
    <row r="25" spans="1:11" x14ac:dyDescent="0.2">
      <c r="A25" s="2" t="s">
        <v>16</v>
      </c>
      <c r="B25" s="2">
        <v>0.63648000000000005</v>
      </c>
      <c r="C25" s="2">
        <v>0.58053999999999994</v>
      </c>
      <c r="D25" s="2">
        <v>0.70435000000000003</v>
      </c>
      <c r="E25" s="2">
        <v>0.96145999999999998</v>
      </c>
      <c r="F25" s="2">
        <v>0.89315</v>
      </c>
      <c r="G25" s="2">
        <v>0.68428</v>
      </c>
      <c r="H25" s="2">
        <v>0.51188999999999996</v>
      </c>
      <c r="I25" s="2">
        <v>0.64444000000000001</v>
      </c>
      <c r="J25" s="2">
        <v>0.57310000000000005</v>
      </c>
      <c r="K25" s="2">
        <v>0.54425999999999997</v>
      </c>
    </row>
    <row r="26" spans="1:11" x14ac:dyDescent="0.2">
      <c r="A26" s="2" t="s">
        <v>17</v>
      </c>
      <c r="B26" s="2">
        <v>0.66218999999999995</v>
      </c>
      <c r="C26" s="2">
        <v>0.65114000000000005</v>
      </c>
      <c r="D26" s="2">
        <v>0.67362</v>
      </c>
      <c r="E26" s="2">
        <v>0.96177999999999997</v>
      </c>
      <c r="F26" s="2">
        <v>0.88543000000000005</v>
      </c>
      <c r="G26" s="2">
        <v>0.72435000000000005</v>
      </c>
      <c r="H26" s="2">
        <v>0.38616</v>
      </c>
      <c r="I26" s="2">
        <v>0.6</v>
      </c>
      <c r="J26" s="2">
        <v>0.55379999999999996</v>
      </c>
      <c r="K26" s="2">
        <v>0.54195000000000004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6"/>
  <sheetViews>
    <sheetView workbookViewId="0">
      <selection activeCell="B26" sqref="B26"/>
    </sheetView>
  </sheetViews>
  <sheetFormatPr baseColWidth="10" defaultColWidth="8.83203125" defaultRowHeight="15" x14ac:dyDescent="0.2"/>
  <cols>
    <col min="1" max="1" width="11.1640625" bestFit="1" customWidth="1"/>
  </cols>
  <sheetData>
    <row r="1" spans="1:11" ht="34" x14ac:dyDescent="0.4">
      <c r="A1" s="1" t="s">
        <v>11</v>
      </c>
    </row>
    <row r="3" spans="1:11" x14ac:dyDescent="0.2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</row>
    <row r="4" spans="1:11" x14ac:dyDescent="0.2">
      <c r="A4" s="2" t="s">
        <v>14</v>
      </c>
      <c r="B4" s="2">
        <v>0.71331</v>
      </c>
      <c r="C4" s="2">
        <v>0.69828999999999997</v>
      </c>
      <c r="D4" s="2">
        <v>0.72899000000000003</v>
      </c>
      <c r="E4" s="2">
        <v>0.92569999999999997</v>
      </c>
      <c r="F4" s="2">
        <v>0.89288999999999996</v>
      </c>
      <c r="G4" s="2">
        <v>0.81866000000000005</v>
      </c>
      <c r="H4" s="2">
        <v>0.77251000000000003</v>
      </c>
      <c r="I4" s="2">
        <v>0.17302000000000001</v>
      </c>
      <c r="J4" s="2">
        <v>0.37503999999999998</v>
      </c>
      <c r="K4" s="2">
        <v>0.64149</v>
      </c>
    </row>
    <row r="5" spans="1:11" x14ac:dyDescent="0.2">
      <c r="A5" s="2" t="s">
        <v>15</v>
      </c>
      <c r="B5" s="2">
        <v>0.70030000000000003</v>
      </c>
      <c r="C5" s="2">
        <v>0.69499999999999995</v>
      </c>
      <c r="D5" s="2">
        <v>0.70567000000000002</v>
      </c>
      <c r="E5" s="2">
        <v>0.90837000000000001</v>
      </c>
      <c r="F5" s="2">
        <v>0.86961999999999995</v>
      </c>
      <c r="G5" s="2">
        <v>0.79518</v>
      </c>
      <c r="H5" s="2">
        <v>0.72536</v>
      </c>
      <c r="I5" s="2">
        <v>0.15634999999999999</v>
      </c>
      <c r="J5" s="2">
        <v>0.37802999999999998</v>
      </c>
      <c r="K5" s="2">
        <v>0.63070000000000004</v>
      </c>
    </row>
    <row r="6" spans="1:11" x14ac:dyDescent="0.2">
      <c r="A6" s="2" t="s">
        <v>16</v>
      </c>
      <c r="B6" s="2">
        <v>0.71501999999999999</v>
      </c>
      <c r="C6" s="2">
        <v>0.68376999999999999</v>
      </c>
      <c r="D6" s="2">
        <v>0.74926999999999999</v>
      </c>
      <c r="E6" s="2">
        <v>0.93132000000000004</v>
      </c>
      <c r="F6" s="2">
        <v>0.91705999999999999</v>
      </c>
      <c r="G6" s="2">
        <v>0.86243000000000003</v>
      </c>
      <c r="H6" s="2">
        <v>0.77378000000000002</v>
      </c>
      <c r="I6" s="2">
        <v>0.19222</v>
      </c>
      <c r="J6" s="2">
        <v>0.46544000000000002</v>
      </c>
      <c r="K6" s="2">
        <v>0.64424999999999999</v>
      </c>
    </row>
    <row r="7" spans="1:11" x14ac:dyDescent="0.2">
      <c r="A7" s="2" t="s">
        <v>17</v>
      </c>
      <c r="B7" s="2">
        <v>0.70376000000000005</v>
      </c>
      <c r="C7" s="2">
        <v>0.68676000000000004</v>
      </c>
      <c r="D7" s="2">
        <v>0.72162999999999999</v>
      </c>
      <c r="E7" s="2">
        <v>0.90837000000000001</v>
      </c>
      <c r="F7" s="2">
        <v>0.85404999999999998</v>
      </c>
      <c r="G7" s="2">
        <v>0.85843000000000003</v>
      </c>
      <c r="H7" s="2">
        <v>0.72704000000000002</v>
      </c>
      <c r="I7" s="2">
        <v>0.16111</v>
      </c>
      <c r="J7" s="2">
        <v>0.43857000000000002</v>
      </c>
      <c r="K7" s="2">
        <v>0.64200000000000002</v>
      </c>
    </row>
    <row r="8" spans="1:1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34" x14ac:dyDescent="0.4">
      <c r="A9" s="8" t="s">
        <v>12</v>
      </c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">
      <c r="A11" s="7" t="s">
        <v>0</v>
      </c>
      <c r="B11" s="7" t="s">
        <v>1</v>
      </c>
      <c r="C11" s="7" t="s">
        <v>2</v>
      </c>
      <c r="D11" s="7" t="s">
        <v>3</v>
      </c>
      <c r="E11" s="7" t="s">
        <v>4</v>
      </c>
      <c r="F11" s="7" t="s">
        <v>5</v>
      </c>
      <c r="G11" s="7" t="s">
        <v>6</v>
      </c>
      <c r="H11" s="7" t="s">
        <v>7</v>
      </c>
      <c r="I11" s="7" t="s">
        <v>8</v>
      </c>
      <c r="J11" s="7" t="s">
        <v>9</v>
      </c>
      <c r="K11" s="7" t="s">
        <v>10</v>
      </c>
    </row>
    <row r="12" spans="1:11" x14ac:dyDescent="0.2">
      <c r="A12" s="2" t="s">
        <v>14</v>
      </c>
      <c r="B12" s="2">
        <v>0.61299000000000003</v>
      </c>
      <c r="C12" s="2">
        <v>0.63</v>
      </c>
      <c r="D12" s="2">
        <v>0.59687999999999997</v>
      </c>
      <c r="E12" s="2">
        <v>0.92544000000000004</v>
      </c>
      <c r="F12" s="2">
        <v>0.82550999999999997</v>
      </c>
      <c r="G12" s="2">
        <v>0.48254000000000002</v>
      </c>
      <c r="H12" s="2">
        <v>0.52656000000000003</v>
      </c>
      <c r="I12" s="2">
        <v>0.30556</v>
      </c>
      <c r="J12" s="2">
        <v>0.25272</v>
      </c>
      <c r="K12" s="2">
        <v>0.45615</v>
      </c>
    </row>
    <row r="13" spans="1:11" x14ac:dyDescent="0.2">
      <c r="A13" s="2" t="s">
        <v>15</v>
      </c>
      <c r="B13" s="2">
        <v>0.62083999999999995</v>
      </c>
      <c r="C13" s="2">
        <v>0.67425000000000002</v>
      </c>
      <c r="D13" s="2">
        <v>0.57525999999999999</v>
      </c>
      <c r="E13" s="2">
        <v>0.90844999999999998</v>
      </c>
      <c r="F13" s="2">
        <v>0.78983000000000003</v>
      </c>
      <c r="G13" s="2">
        <v>0.48121000000000003</v>
      </c>
      <c r="H13" s="2">
        <v>0.48842999999999998</v>
      </c>
      <c r="I13" s="2">
        <v>0.29166999999999998</v>
      </c>
      <c r="J13" s="2">
        <v>0.23699000000000001</v>
      </c>
      <c r="K13" s="2">
        <v>0.42859999999999998</v>
      </c>
    </row>
    <row r="14" spans="1:11" x14ac:dyDescent="0.2">
      <c r="A14" s="2" t="s">
        <v>16</v>
      </c>
      <c r="B14" s="2">
        <v>0.63768000000000002</v>
      </c>
      <c r="C14" s="2">
        <v>0.68681000000000003</v>
      </c>
      <c r="D14" s="2">
        <v>0.59511000000000003</v>
      </c>
      <c r="E14" s="2">
        <v>0.90027999999999997</v>
      </c>
      <c r="F14" s="2">
        <v>0.91473000000000004</v>
      </c>
      <c r="G14" s="2">
        <v>0.56347000000000003</v>
      </c>
      <c r="H14" s="2">
        <v>0.57606999999999997</v>
      </c>
      <c r="I14" s="2">
        <v>0.15</v>
      </c>
      <c r="J14" s="2">
        <v>0.26980999999999999</v>
      </c>
      <c r="K14" s="2">
        <v>0.31239</v>
      </c>
    </row>
    <row r="15" spans="1:11" x14ac:dyDescent="0.2">
      <c r="A15" s="2" t="s">
        <v>17</v>
      </c>
      <c r="B15" s="2">
        <v>0.62866</v>
      </c>
      <c r="C15" s="2">
        <v>0.68569000000000002</v>
      </c>
      <c r="D15" s="2">
        <v>0.58038999999999996</v>
      </c>
      <c r="E15" s="2">
        <v>0.87848000000000004</v>
      </c>
      <c r="F15" s="2">
        <v>0.88390999999999997</v>
      </c>
      <c r="G15" s="2">
        <v>0.57201000000000002</v>
      </c>
      <c r="H15" s="2">
        <v>0.53720999999999997</v>
      </c>
      <c r="I15" s="2">
        <v>0.22222</v>
      </c>
      <c r="J15" s="2">
        <v>0.2379</v>
      </c>
      <c r="K15" s="2">
        <v>0.29404000000000002</v>
      </c>
    </row>
    <row r="16" spans="1:1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34" x14ac:dyDescent="0.4">
      <c r="A17" s="8" t="s">
        <v>13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">
      <c r="A19" s="7" t="s">
        <v>0</v>
      </c>
      <c r="B19" s="7" t="s">
        <v>1</v>
      </c>
      <c r="C19" s="7" t="s">
        <v>2</v>
      </c>
      <c r="D19" s="7" t="s">
        <v>3</v>
      </c>
      <c r="E19" s="7" t="s">
        <v>4</v>
      </c>
      <c r="F19" s="7" t="s">
        <v>5</v>
      </c>
      <c r="G19" s="7" t="s">
        <v>6</v>
      </c>
      <c r="H19" s="7" t="s">
        <v>7</v>
      </c>
      <c r="I19" s="7" t="s">
        <v>8</v>
      </c>
      <c r="J19" s="7" t="s">
        <v>9</v>
      </c>
      <c r="K19" s="7" t="s">
        <v>10</v>
      </c>
    </row>
    <row r="20" spans="1:11" x14ac:dyDescent="0.2">
      <c r="A20" s="9" t="s">
        <v>18</v>
      </c>
      <c r="B20" s="10">
        <v>0.28999999999999998</v>
      </c>
      <c r="C20" s="10">
        <v>0.67</v>
      </c>
      <c r="D20" s="10">
        <v>0.2</v>
      </c>
      <c r="E20" s="10">
        <v>0.27</v>
      </c>
      <c r="F20" s="10">
        <v>0.04</v>
      </c>
      <c r="G20" s="10">
        <v>0.37</v>
      </c>
      <c r="H20" s="10">
        <v>0.1</v>
      </c>
      <c r="I20" s="10">
        <v>0.57999999999999996</v>
      </c>
      <c r="J20" s="10">
        <v>0.08</v>
      </c>
      <c r="K20" s="10" t="s">
        <v>21</v>
      </c>
    </row>
    <row r="21" spans="1:11" x14ac:dyDescent="0.2">
      <c r="A21" s="9" t="s">
        <v>19</v>
      </c>
      <c r="B21" s="10">
        <v>0.51</v>
      </c>
      <c r="C21" s="10">
        <v>0.54</v>
      </c>
      <c r="D21" s="10">
        <v>0.56999999999999995</v>
      </c>
      <c r="E21" s="10">
        <v>0.96</v>
      </c>
      <c r="F21" s="10">
        <v>0.06</v>
      </c>
      <c r="G21" s="10">
        <v>0.62</v>
      </c>
      <c r="H21" s="10">
        <v>0.37</v>
      </c>
      <c r="I21" s="10">
        <v>1</v>
      </c>
      <c r="J21" s="10">
        <v>0.14000000000000001</v>
      </c>
      <c r="K21" s="10" t="s">
        <v>21</v>
      </c>
    </row>
    <row r="22" spans="1:11" x14ac:dyDescent="0.2">
      <c r="A22" s="9" t="s">
        <v>20</v>
      </c>
      <c r="B22" s="10">
        <v>0.14000000000000001</v>
      </c>
      <c r="C22" s="10">
        <v>0.9</v>
      </c>
      <c r="D22" s="10">
        <v>0.08</v>
      </c>
      <c r="E22" s="10">
        <v>0.23</v>
      </c>
      <c r="F22" s="10">
        <v>0</v>
      </c>
      <c r="G22" s="10">
        <v>0</v>
      </c>
      <c r="H22" s="10">
        <v>0.05</v>
      </c>
      <c r="I22" s="10">
        <v>0.17</v>
      </c>
      <c r="J22" s="10">
        <v>0</v>
      </c>
      <c r="K22" s="10" t="s">
        <v>21</v>
      </c>
    </row>
    <row r="23" spans="1:11" x14ac:dyDescent="0.2">
      <c r="A23" s="2" t="s">
        <v>14</v>
      </c>
      <c r="B23" s="2">
        <v>0.62909999999999999</v>
      </c>
      <c r="C23" s="2">
        <v>0.63334999999999997</v>
      </c>
      <c r="D23" s="2">
        <v>0.62490000000000001</v>
      </c>
      <c r="E23" s="2">
        <v>0.85085999999999995</v>
      </c>
      <c r="F23" s="2">
        <v>0.84379000000000004</v>
      </c>
      <c r="G23" s="2">
        <v>0.64683999999999997</v>
      </c>
      <c r="H23" s="2">
        <v>0.43641000000000002</v>
      </c>
      <c r="I23" s="2">
        <v>0.56825000000000003</v>
      </c>
      <c r="J23" s="2">
        <v>0.47101999999999999</v>
      </c>
      <c r="K23" s="2">
        <v>0.47619</v>
      </c>
    </row>
    <row r="24" spans="1:11" x14ac:dyDescent="0.2">
      <c r="A24" s="2" t="s">
        <v>15</v>
      </c>
      <c r="B24" s="2">
        <v>0.61990999999999996</v>
      </c>
      <c r="C24" s="2">
        <v>0.66498999999999997</v>
      </c>
      <c r="D24" s="2">
        <v>0.58055999999999996</v>
      </c>
      <c r="E24" s="2">
        <v>0.81337000000000004</v>
      </c>
      <c r="F24" s="2">
        <v>0.81891999999999998</v>
      </c>
      <c r="G24" s="2">
        <v>0.66468000000000005</v>
      </c>
      <c r="H24" s="2">
        <v>0.31365999999999999</v>
      </c>
      <c r="I24" s="2">
        <v>0.55556000000000005</v>
      </c>
      <c r="J24" s="2">
        <v>0.44685000000000002</v>
      </c>
      <c r="K24" s="2">
        <v>0.45412999999999998</v>
      </c>
    </row>
    <row r="25" spans="1:11" x14ac:dyDescent="0.2">
      <c r="A25" s="2" t="s">
        <v>16</v>
      </c>
      <c r="B25" s="2">
        <v>0.61089000000000004</v>
      </c>
      <c r="C25" s="2">
        <v>0.58053999999999994</v>
      </c>
      <c r="D25" s="2">
        <v>0.64459999999999995</v>
      </c>
      <c r="E25" s="2">
        <v>0.92479999999999996</v>
      </c>
      <c r="F25" s="2">
        <v>0.81977999999999995</v>
      </c>
      <c r="G25" s="2">
        <v>0.62295</v>
      </c>
      <c r="H25" s="2">
        <v>0.44074000000000002</v>
      </c>
      <c r="I25" s="2">
        <v>0.56825000000000003</v>
      </c>
      <c r="J25" s="2">
        <v>0.49686000000000002</v>
      </c>
      <c r="K25" s="2">
        <v>0.49048999999999998</v>
      </c>
    </row>
    <row r="26" spans="1:11" x14ac:dyDescent="0.2">
      <c r="A26" s="2" t="s">
        <v>17</v>
      </c>
      <c r="B26" s="2">
        <v>0.62910999999999995</v>
      </c>
      <c r="C26" s="2">
        <v>0.65114000000000005</v>
      </c>
      <c r="D26" s="2">
        <v>0.60853000000000002</v>
      </c>
      <c r="E26" s="2">
        <v>0.91424000000000005</v>
      </c>
      <c r="F26" s="2">
        <v>0.79247000000000001</v>
      </c>
      <c r="G26" s="2">
        <v>0.64910000000000001</v>
      </c>
      <c r="H26" s="2">
        <v>0.316</v>
      </c>
      <c r="I26" s="2">
        <v>0.55556000000000005</v>
      </c>
      <c r="J26" s="2">
        <v>0.47277999999999998</v>
      </c>
      <c r="K26" s="2">
        <v>0.47233000000000003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6"/>
  <sheetViews>
    <sheetView workbookViewId="0">
      <selection activeCell="K26" sqref="A19:K26"/>
    </sheetView>
  </sheetViews>
  <sheetFormatPr baseColWidth="10" defaultColWidth="8.83203125" defaultRowHeight="15" x14ac:dyDescent="0.2"/>
  <cols>
    <col min="1" max="1" width="11.1640625" bestFit="1" customWidth="1"/>
  </cols>
  <sheetData>
    <row r="1" spans="1:11" ht="34" x14ac:dyDescent="0.4">
      <c r="A1" s="1" t="s">
        <v>11</v>
      </c>
    </row>
    <row r="3" spans="1:11" x14ac:dyDescent="0.2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</row>
    <row r="4" spans="1:11" x14ac:dyDescent="0.2">
      <c r="A4" s="2" t="s">
        <v>14</v>
      </c>
      <c r="B4" s="2">
        <v>0.66810000000000003</v>
      </c>
      <c r="C4" s="2">
        <v>0.67427999999999999</v>
      </c>
      <c r="D4" s="2">
        <v>0.66202000000000005</v>
      </c>
      <c r="E4" s="2">
        <v>0.89771000000000001</v>
      </c>
      <c r="F4" s="2">
        <v>0.67900000000000005</v>
      </c>
      <c r="G4" s="2">
        <v>0.69657999999999998</v>
      </c>
      <c r="H4" s="2">
        <v>0.76100000000000001</v>
      </c>
      <c r="I4" s="2">
        <v>0.13889000000000001</v>
      </c>
      <c r="J4" s="2">
        <v>0.31977</v>
      </c>
      <c r="K4" s="2">
        <v>0.46710000000000002</v>
      </c>
    </row>
    <row r="5" spans="1:11" x14ac:dyDescent="0.2">
      <c r="A5" s="2" t="s">
        <v>15</v>
      </c>
      <c r="B5" s="2">
        <v>0.65527000000000002</v>
      </c>
      <c r="C5" s="2">
        <v>0.66866000000000003</v>
      </c>
      <c r="D5" s="2">
        <v>0.64241000000000004</v>
      </c>
      <c r="E5" s="2">
        <v>0.90837000000000001</v>
      </c>
      <c r="F5" s="2">
        <v>0.66408999999999996</v>
      </c>
      <c r="G5" s="2">
        <v>0.62177000000000004</v>
      </c>
      <c r="H5" s="2">
        <v>0.71389999999999998</v>
      </c>
      <c r="I5" s="2">
        <v>0.13889000000000001</v>
      </c>
      <c r="J5" s="2">
        <v>0.32500000000000001</v>
      </c>
      <c r="K5" s="2">
        <v>0.47366000000000003</v>
      </c>
    </row>
    <row r="6" spans="1:11" x14ac:dyDescent="0.2">
      <c r="A6" s="2" t="s">
        <v>16</v>
      </c>
      <c r="B6" s="2">
        <v>0.69062999999999997</v>
      </c>
      <c r="C6" s="2">
        <v>0.66252</v>
      </c>
      <c r="D6" s="2">
        <v>0.72123999999999999</v>
      </c>
      <c r="E6" s="2">
        <v>0.93132000000000004</v>
      </c>
      <c r="F6" s="2">
        <v>0.80832999999999999</v>
      </c>
      <c r="G6" s="2">
        <v>0.81403000000000003</v>
      </c>
      <c r="H6" s="2">
        <v>0.76100000000000001</v>
      </c>
      <c r="I6" s="2">
        <v>0.19222</v>
      </c>
      <c r="J6" s="2">
        <v>0.41431000000000001</v>
      </c>
      <c r="K6" s="2">
        <v>0.58220000000000005</v>
      </c>
    </row>
    <row r="7" spans="1:11" x14ac:dyDescent="0.2">
      <c r="A7" s="2" t="s">
        <v>17</v>
      </c>
      <c r="B7" s="2">
        <v>0.67669999999999997</v>
      </c>
      <c r="C7" s="2">
        <v>0.66635999999999995</v>
      </c>
      <c r="D7" s="2">
        <v>0.68735999999999997</v>
      </c>
      <c r="E7" s="2">
        <v>0.90837000000000001</v>
      </c>
      <c r="F7" s="2">
        <v>0.78103</v>
      </c>
      <c r="G7" s="2">
        <v>0.75592999999999999</v>
      </c>
      <c r="H7" s="2">
        <v>0.71389999999999998</v>
      </c>
      <c r="I7" s="2">
        <v>0.16111</v>
      </c>
      <c r="J7" s="2">
        <v>0.38614999999999999</v>
      </c>
      <c r="K7" s="2">
        <v>0.57693000000000005</v>
      </c>
    </row>
    <row r="8" spans="1:1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34" x14ac:dyDescent="0.4">
      <c r="A9" s="8" t="s">
        <v>12</v>
      </c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">
      <c r="A11" s="7" t="s">
        <v>0</v>
      </c>
      <c r="B11" s="7" t="s">
        <v>1</v>
      </c>
      <c r="C11" s="7" t="s">
        <v>2</v>
      </c>
      <c r="D11" s="7" t="s">
        <v>3</v>
      </c>
      <c r="E11" s="7" t="s">
        <v>4</v>
      </c>
      <c r="F11" s="7" t="s">
        <v>5</v>
      </c>
      <c r="G11" s="7" t="s">
        <v>6</v>
      </c>
      <c r="H11" s="7" t="s">
        <v>7</v>
      </c>
      <c r="I11" s="7" t="s">
        <v>8</v>
      </c>
      <c r="J11" s="7" t="s">
        <v>9</v>
      </c>
      <c r="K11" s="7" t="s">
        <v>10</v>
      </c>
    </row>
    <row r="12" spans="1:11" x14ac:dyDescent="0.2">
      <c r="A12" s="2" t="s">
        <v>14</v>
      </c>
      <c r="B12" s="2">
        <v>0.53300999999999998</v>
      </c>
      <c r="C12" s="2">
        <v>0.60221000000000002</v>
      </c>
      <c r="D12" s="2">
        <v>0.47808</v>
      </c>
      <c r="E12" s="2">
        <v>0.86399999999999999</v>
      </c>
      <c r="F12" s="2">
        <v>0.38444</v>
      </c>
      <c r="G12" s="2">
        <v>0.20111000000000001</v>
      </c>
      <c r="H12" s="2">
        <v>0.44257999999999997</v>
      </c>
      <c r="I12" s="2">
        <v>0.22222</v>
      </c>
      <c r="J12" s="2">
        <v>0.21212</v>
      </c>
      <c r="K12" s="2">
        <v>0.45615</v>
      </c>
    </row>
    <row r="13" spans="1:11" x14ac:dyDescent="0.2">
      <c r="A13" s="2" t="s">
        <v>15</v>
      </c>
      <c r="B13" s="2">
        <v>0.53108999999999995</v>
      </c>
      <c r="C13" s="2">
        <v>0.63632999999999995</v>
      </c>
      <c r="D13" s="2">
        <v>0.45573000000000002</v>
      </c>
      <c r="E13" s="2">
        <v>0.88014000000000003</v>
      </c>
      <c r="F13" s="2">
        <v>0.22963</v>
      </c>
      <c r="G13" s="2">
        <v>0.19886999999999999</v>
      </c>
      <c r="H13" s="2">
        <v>0.40405999999999997</v>
      </c>
      <c r="I13" s="2">
        <v>0.22222</v>
      </c>
      <c r="J13" s="2">
        <v>0.20477999999999999</v>
      </c>
      <c r="K13" s="2">
        <v>0.38958999999999999</v>
      </c>
    </row>
    <row r="14" spans="1:11" x14ac:dyDescent="0.2">
      <c r="A14" s="2" t="s">
        <v>16</v>
      </c>
      <c r="B14" s="2">
        <v>0.58030999999999999</v>
      </c>
      <c r="C14" s="2">
        <v>0.64603999999999995</v>
      </c>
      <c r="D14" s="2">
        <v>0.52671999999999997</v>
      </c>
      <c r="E14" s="2">
        <v>0.83887999999999996</v>
      </c>
      <c r="F14" s="2">
        <v>0.79225000000000001</v>
      </c>
      <c r="G14" s="2">
        <v>0.38861000000000001</v>
      </c>
      <c r="H14" s="2">
        <v>0.55796000000000001</v>
      </c>
      <c r="I14" s="2">
        <v>0.11111</v>
      </c>
      <c r="J14" s="2">
        <v>0.26980999999999999</v>
      </c>
      <c r="K14" s="2">
        <v>0.20633000000000001</v>
      </c>
    </row>
    <row r="15" spans="1:11" x14ac:dyDescent="0.2">
      <c r="A15" s="2" t="s">
        <v>17</v>
      </c>
      <c r="B15" s="2">
        <v>0.58464000000000005</v>
      </c>
      <c r="C15" s="2">
        <v>0.64656000000000002</v>
      </c>
      <c r="D15" s="2">
        <v>0.53354999999999997</v>
      </c>
      <c r="E15" s="2">
        <v>0.85060999999999998</v>
      </c>
      <c r="F15" s="2">
        <v>0.76336000000000004</v>
      </c>
      <c r="G15" s="2">
        <v>0.48155999999999999</v>
      </c>
      <c r="H15" s="2">
        <v>0.51944999999999997</v>
      </c>
      <c r="I15" s="2">
        <v>0.22222</v>
      </c>
      <c r="J15" s="2">
        <v>0.20477999999999999</v>
      </c>
      <c r="K15" s="2">
        <v>0.18199000000000001</v>
      </c>
    </row>
    <row r="16" spans="1:1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34" x14ac:dyDescent="0.4">
      <c r="A17" s="8" t="s">
        <v>13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">
      <c r="A19" s="7" t="s">
        <v>0</v>
      </c>
      <c r="B19" s="7" t="s">
        <v>1</v>
      </c>
      <c r="C19" s="7" t="s">
        <v>2</v>
      </c>
      <c r="D19" s="7" t="s">
        <v>3</v>
      </c>
      <c r="E19" s="7" t="s">
        <v>4</v>
      </c>
      <c r="F19" s="7" t="s">
        <v>5</v>
      </c>
      <c r="G19" s="7" t="s">
        <v>6</v>
      </c>
      <c r="H19" s="7" t="s">
        <v>7</v>
      </c>
      <c r="I19" s="7" t="s">
        <v>8</v>
      </c>
      <c r="J19" s="7" t="s">
        <v>9</v>
      </c>
      <c r="K19" s="7" t="s">
        <v>10</v>
      </c>
    </row>
    <row r="20" spans="1:11" x14ac:dyDescent="0.2">
      <c r="A20" s="9" t="s">
        <v>18</v>
      </c>
      <c r="B20" s="10">
        <v>0.13</v>
      </c>
      <c r="C20" s="10">
        <v>0.67</v>
      </c>
      <c r="D20" s="10">
        <v>0.08</v>
      </c>
      <c r="E20" s="10">
        <v>0</v>
      </c>
      <c r="F20" s="10">
        <v>0</v>
      </c>
      <c r="G20" s="10">
        <v>7.0000000000000007E-2</v>
      </c>
      <c r="H20" s="10">
        <v>0</v>
      </c>
      <c r="I20" s="10">
        <v>0.57999999999999996</v>
      </c>
      <c r="J20" s="10">
        <v>0.06</v>
      </c>
      <c r="K20" s="10" t="s">
        <v>21</v>
      </c>
    </row>
    <row r="21" spans="1:11" x14ac:dyDescent="0.2">
      <c r="A21" s="9" t="s">
        <v>19</v>
      </c>
      <c r="B21" s="10">
        <v>0.49</v>
      </c>
      <c r="C21" s="10">
        <v>0.52</v>
      </c>
      <c r="D21" s="10">
        <v>0.56000000000000005</v>
      </c>
      <c r="E21" s="10">
        <v>0.94</v>
      </c>
      <c r="F21" s="10">
        <v>0.06</v>
      </c>
      <c r="G21" s="10">
        <v>0.57999999999999996</v>
      </c>
      <c r="H21" s="10">
        <v>0.37</v>
      </c>
      <c r="I21" s="10">
        <v>1</v>
      </c>
      <c r="J21" s="10">
        <v>0.14000000000000001</v>
      </c>
      <c r="K21" s="10" t="s">
        <v>21</v>
      </c>
    </row>
    <row r="22" spans="1:11" x14ac:dyDescent="0.2">
      <c r="A22" s="9" t="s">
        <v>20</v>
      </c>
      <c r="B22" s="10">
        <v>0.14000000000000001</v>
      </c>
      <c r="C22" s="10">
        <v>0.86</v>
      </c>
      <c r="D22" s="10">
        <v>0.08</v>
      </c>
      <c r="E22" s="10">
        <v>0.23</v>
      </c>
      <c r="F22" s="10">
        <v>0</v>
      </c>
      <c r="G22" s="10">
        <v>0</v>
      </c>
      <c r="H22" s="10">
        <v>0.05</v>
      </c>
      <c r="I22" s="10">
        <v>0.17</v>
      </c>
      <c r="J22" s="10">
        <v>0</v>
      </c>
      <c r="K22" s="10" t="s">
        <v>21</v>
      </c>
    </row>
    <row r="23" spans="1:11" x14ac:dyDescent="0.2">
      <c r="A23" s="2" t="s">
        <v>14</v>
      </c>
      <c r="B23" s="2">
        <v>0.52117000000000002</v>
      </c>
      <c r="C23" s="2">
        <v>0.61131000000000002</v>
      </c>
      <c r="D23" s="2">
        <v>0.45418999999999998</v>
      </c>
      <c r="E23" s="2">
        <v>0.57535999999999998</v>
      </c>
      <c r="F23" s="2">
        <v>0.38492999999999999</v>
      </c>
      <c r="G23" s="2">
        <v>0.46550000000000002</v>
      </c>
      <c r="H23" s="2">
        <v>0.36209999999999998</v>
      </c>
      <c r="I23" s="2">
        <v>0.56825000000000003</v>
      </c>
      <c r="J23" s="2">
        <v>0.40254000000000001</v>
      </c>
      <c r="K23" s="2">
        <v>0.32161000000000001</v>
      </c>
    </row>
    <row r="24" spans="1:11" x14ac:dyDescent="0.2">
      <c r="A24" s="2" t="s">
        <v>15</v>
      </c>
      <c r="B24" s="2">
        <v>0.51785000000000003</v>
      </c>
      <c r="C24" s="2">
        <v>0.64273000000000002</v>
      </c>
      <c r="D24" s="2">
        <v>0.43361</v>
      </c>
      <c r="E24" s="2">
        <v>0.55686999999999998</v>
      </c>
      <c r="F24" s="2">
        <v>0.36526999999999998</v>
      </c>
      <c r="G24" s="2">
        <v>0.58518000000000003</v>
      </c>
      <c r="H24" s="2">
        <v>0.25469000000000003</v>
      </c>
      <c r="I24" s="2">
        <v>0.55556000000000005</v>
      </c>
      <c r="J24" s="2">
        <v>0.37831999999999999</v>
      </c>
      <c r="K24" s="2">
        <v>0.29216999999999999</v>
      </c>
    </row>
    <row r="25" spans="1:11" x14ac:dyDescent="0.2">
      <c r="A25" s="2" t="s">
        <v>16</v>
      </c>
      <c r="B25" s="2">
        <v>0.57369000000000003</v>
      </c>
      <c r="C25" s="2">
        <v>0.54815000000000003</v>
      </c>
      <c r="D25" s="2">
        <v>0.60172000000000003</v>
      </c>
      <c r="E25" s="2">
        <v>0.86880000000000002</v>
      </c>
      <c r="F25" s="2">
        <v>0.78920999999999997</v>
      </c>
      <c r="G25" s="2">
        <v>0.57013999999999998</v>
      </c>
      <c r="H25" s="2">
        <v>0.40375</v>
      </c>
      <c r="I25" s="2">
        <v>0.56825000000000003</v>
      </c>
      <c r="J25" s="2">
        <v>0.40254000000000001</v>
      </c>
      <c r="K25" s="2">
        <v>0.49048999999999998</v>
      </c>
    </row>
    <row r="26" spans="1:11" x14ac:dyDescent="0.2">
      <c r="A26" s="2" t="s">
        <v>17</v>
      </c>
      <c r="B26" s="2">
        <v>0.59192999999999996</v>
      </c>
      <c r="C26" s="2">
        <v>0.61831000000000003</v>
      </c>
      <c r="D26" s="2">
        <v>0.56769999999999998</v>
      </c>
      <c r="E26" s="2">
        <v>0.85977000000000003</v>
      </c>
      <c r="F26" s="2">
        <v>0.7621</v>
      </c>
      <c r="G26" s="2">
        <v>0.61641999999999997</v>
      </c>
      <c r="H26" s="2">
        <v>0.29438999999999999</v>
      </c>
      <c r="I26" s="2">
        <v>0.55556000000000005</v>
      </c>
      <c r="J26" s="2">
        <v>0.37831999999999999</v>
      </c>
      <c r="K26" s="2">
        <v>0.41761999999999999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6"/>
  <sheetViews>
    <sheetView tabSelected="1" workbookViewId="0">
      <selection activeCell="B28" sqref="B28"/>
    </sheetView>
  </sheetViews>
  <sheetFormatPr baseColWidth="10" defaultColWidth="8.83203125" defaultRowHeight="15" x14ac:dyDescent="0.2"/>
  <cols>
    <col min="1" max="1" width="11.1640625" bestFit="1" customWidth="1"/>
  </cols>
  <sheetData>
    <row r="1" spans="1:11" ht="34" x14ac:dyDescent="0.4">
      <c r="A1" s="1" t="s">
        <v>11</v>
      </c>
    </row>
    <row r="3" spans="1:11" x14ac:dyDescent="0.2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  <c r="J3" s="11" t="s">
        <v>9</v>
      </c>
      <c r="K3" s="11" t="s">
        <v>10</v>
      </c>
    </row>
    <row r="4" spans="1:11" x14ac:dyDescent="0.2">
      <c r="A4" s="5" t="s">
        <v>14</v>
      </c>
      <c r="B4" s="5">
        <v>0.74328000000000005</v>
      </c>
      <c r="C4" s="5">
        <v>0.69589000000000001</v>
      </c>
      <c r="D4" s="5">
        <v>0.80044999999999999</v>
      </c>
      <c r="E4" s="5">
        <v>0.96299999999999997</v>
      </c>
      <c r="F4" s="5">
        <v>0.94105000000000005</v>
      </c>
      <c r="G4" s="5">
        <v>0.91452999999999995</v>
      </c>
      <c r="H4" s="5">
        <v>0.83475999999999995</v>
      </c>
      <c r="I4" s="5">
        <v>0.25015999999999999</v>
      </c>
      <c r="J4" s="5">
        <v>0.5383</v>
      </c>
      <c r="K4" s="5">
        <v>0.71628999999999998</v>
      </c>
    </row>
    <row r="5" spans="1:11" x14ac:dyDescent="0.2">
      <c r="A5" s="5" t="s">
        <v>15</v>
      </c>
      <c r="B5" s="5">
        <v>0.73638000000000003</v>
      </c>
      <c r="C5" s="5">
        <v>0.69237000000000004</v>
      </c>
      <c r="D5" s="5">
        <v>0.79003999999999996</v>
      </c>
      <c r="E5" s="5">
        <v>0.95992999999999995</v>
      </c>
      <c r="F5" s="5">
        <v>0.93176000000000003</v>
      </c>
      <c r="G5" s="5">
        <v>0.90253000000000005</v>
      </c>
      <c r="H5" s="5">
        <v>0.79291999999999996</v>
      </c>
      <c r="I5" s="5">
        <v>0.24016000000000001</v>
      </c>
      <c r="J5" s="5">
        <v>0.58221999999999996</v>
      </c>
      <c r="K5" s="5">
        <v>0.71338999999999997</v>
      </c>
    </row>
    <row r="6" spans="1:11" x14ac:dyDescent="0.2">
      <c r="A6" s="5" t="s">
        <v>16</v>
      </c>
      <c r="B6" s="5">
        <v>0.74143000000000003</v>
      </c>
      <c r="C6" s="5">
        <v>0.68164000000000002</v>
      </c>
      <c r="D6" s="5">
        <v>0.81472</v>
      </c>
      <c r="E6" s="5">
        <v>0.96740000000000004</v>
      </c>
      <c r="F6" s="5">
        <v>0.95869000000000004</v>
      </c>
      <c r="G6" s="5">
        <v>0.93391000000000002</v>
      </c>
      <c r="H6" s="5">
        <v>0.83326</v>
      </c>
      <c r="I6" s="5">
        <v>0.25933</v>
      </c>
      <c r="J6" s="5">
        <v>0.63370000000000004</v>
      </c>
      <c r="K6" s="5">
        <v>0.71314999999999995</v>
      </c>
    </row>
    <row r="7" spans="1:11" x14ac:dyDescent="0.2">
      <c r="A7" s="5" t="s">
        <v>17</v>
      </c>
      <c r="B7" s="5">
        <v>0.73551999999999995</v>
      </c>
      <c r="C7" s="5">
        <v>0.68472</v>
      </c>
      <c r="D7" s="5">
        <v>0.79718</v>
      </c>
      <c r="E7" s="5">
        <v>0.95992999999999995</v>
      </c>
      <c r="F7" s="5">
        <v>0.92361000000000004</v>
      </c>
      <c r="G7" s="5">
        <v>0.92956000000000005</v>
      </c>
      <c r="H7" s="5">
        <v>0.79174999999999995</v>
      </c>
      <c r="I7" s="5">
        <v>0.24332999999999999</v>
      </c>
      <c r="J7" s="5">
        <v>0.61958999999999997</v>
      </c>
      <c r="K7" s="5">
        <v>0.71504000000000001</v>
      </c>
    </row>
    <row r="8" spans="1:1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</row>
    <row r="9" spans="1:11" ht="34" x14ac:dyDescent="0.4">
      <c r="A9" s="12" t="s">
        <v>12</v>
      </c>
      <c r="B9" s="5"/>
      <c r="C9" s="5"/>
      <c r="D9" s="5"/>
      <c r="E9" s="5"/>
      <c r="F9" s="5"/>
      <c r="G9" s="5"/>
      <c r="H9" s="5"/>
      <c r="I9" s="5"/>
      <c r="J9" s="5"/>
      <c r="K9" s="5"/>
    </row>
    <row r="10" spans="1:1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1" x14ac:dyDescent="0.2">
      <c r="A11" s="11" t="s">
        <v>0</v>
      </c>
      <c r="B11" s="11" t="s">
        <v>1</v>
      </c>
      <c r="C11" s="11" t="s">
        <v>2</v>
      </c>
      <c r="D11" s="11" t="s">
        <v>3</v>
      </c>
      <c r="E11" s="11" t="s">
        <v>4</v>
      </c>
      <c r="F11" s="11" t="s">
        <v>5</v>
      </c>
      <c r="G11" s="11" t="s">
        <v>6</v>
      </c>
      <c r="H11" s="11" t="s">
        <v>7</v>
      </c>
      <c r="I11" s="11" t="s">
        <v>8</v>
      </c>
      <c r="J11" s="11" t="s">
        <v>9</v>
      </c>
      <c r="K11" s="11" t="s">
        <v>10</v>
      </c>
    </row>
    <row r="12" spans="1:11" x14ac:dyDescent="0.2">
      <c r="A12" s="5" t="s">
        <v>14</v>
      </c>
      <c r="B12" s="5">
        <v>0.64761000000000002</v>
      </c>
      <c r="C12" s="5">
        <v>0.62722</v>
      </c>
      <c r="D12" s="5">
        <v>0.67488999999999999</v>
      </c>
      <c r="E12" s="5">
        <v>0.96111999999999997</v>
      </c>
      <c r="F12" s="5">
        <v>0.89600999999999997</v>
      </c>
      <c r="G12" s="5">
        <v>0.67534000000000005</v>
      </c>
      <c r="H12" s="5">
        <v>0.59284999999999999</v>
      </c>
      <c r="I12" s="5">
        <v>0.31667000000000001</v>
      </c>
      <c r="J12" s="5">
        <v>0.32494000000000001</v>
      </c>
      <c r="K12" s="5">
        <v>0.57501000000000002</v>
      </c>
    </row>
    <row r="13" spans="1:11" x14ac:dyDescent="0.2">
      <c r="A13" s="5" t="s">
        <v>15</v>
      </c>
      <c r="B13" s="5">
        <v>0.66032000000000002</v>
      </c>
      <c r="C13" s="5">
        <v>0.67045999999999994</v>
      </c>
      <c r="D13" s="5">
        <v>0.65590999999999999</v>
      </c>
      <c r="E13" s="5">
        <v>0.95855000000000001</v>
      </c>
      <c r="F13" s="5">
        <v>0.86970999999999998</v>
      </c>
      <c r="G13" s="5">
        <v>0.67540999999999995</v>
      </c>
      <c r="H13" s="5">
        <v>0.55234000000000005</v>
      </c>
      <c r="I13" s="5">
        <v>0.31389</v>
      </c>
      <c r="J13" s="5">
        <v>0.31583</v>
      </c>
      <c r="K13" s="5">
        <v>0.51456999999999997</v>
      </c>
    </row>
    <row r="14" spans="1:11" x14ac:dyDescent="0.2">
      <c r="A14" s="5" t="s">
        <v>16</v>
      </c>
      <c r="B14" s="5">
        <v>0.67593999999999999</v>
      </c>
      <c r="C14" s="5">
        <v>0.68272999999999995</v>
      </c>
      <c r="D14" s="5">
        <v>0.67318</v>
      </c>
      <c r="E14" s="5">
        <v>0.94821999999999995</v>
      </c>
      <c r="F14" s="5">
        <v>0.95157000000000003</v>
      </c>
      <c r="G14" s="5">
        <v>0.70850999999999997</v>
      </c>
      <c r="H14" s="5">
        <v>0.64124999999999999</v>
      </c>
      <c r="I14" s="5">
        <v>0.18833</v>
      </c>
      <c r="J14" s="5">
        <v>0.33412999999999998</v>
      </c>
      <c r="K14" s="5">
        <v>0.48263</v>
      </c>
    </row>
    <row r="15" spans="1:11" x14ac:dyDescent="0.2">
      <c r="A15" s="5" t="s">
        <v>17</v>
      </c>
      <c r="B15" s="5">
        <v>0.66847000000000001</v>
      </c>
      <c r="C15" s="5">
        <v>0.68178000000000005</v>
      </c>
      <c r="D15" s="5">
        <v>0.65910000000000002</v>
      </c>
      <c r="E15" s="5">
        <v>0.94440000000000002</v>
      </c>
      <c r="F15" s="5">
        <v>0.94037000000000004</v>
      </c>
      <c r="G15" s="5">
        <v>0.72094000000000003</v>
      </c>
      <c r="H15" s="5">
        <v>0.60058999999999996</v>
      </c>
      <c r="I15" s="5">
        <v>0.22222</v>
      </c>
      <c r="J15" s="5">
        <v>0.31101000000000001</v>
      </c>
      <c r="K15" s="5">
        <v>0.42925000000000002</v>
      </c>
    </row>
    <row r="16" spans="1:1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ht="34" x14ac:dyDescent="0.4">
      <c r="A17" s="12" t="s">
        <v>13</v>
      </c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2">
      <c r="A19" s="11" t="s">
        <v>0</v>
      </c>
      <c r="B19" s="11" t="s">
        <v>1</v>
      </c>
      <c r="C19" s="11" t="s">
        <v>2</v>
      </c>
      <c r="D19" s="11" t="s">
        <v>3</v>
      </c>
      <c r="E19" s="11" t="s">
        <v>4</v>
      </c>
      <c r="F19" s="11" t="s">
        <v>5</v>
      </c>
      <c r="G19" s="11" t="s">
        <v>6</v>
      </c>
      <c r="H19" s="11" t="s">
        <v>7</v>
      </c>
      <c r="I19" s="11" t="s">
        <v>8</v>
      </c>
      <c r="J19" s="11" t="s">
        <v>9</v>
      </c>
      <c r="K19" s="11" t="s">
        <v>10</v>
      </c>
    </row>
    <row r="20" spans="1:11" x14ac:dyDescent="0.2">
      <c r="A20" s="3" t="s">
        <v>18</v>
      </c>
      <c r="B20" s="4">
        <f>SUM(PRODUCT('AD Level 1'!B20, 0.4),  PRODUCT('AD Level 2'!B20, 0.3),   PRODUCT('AD Level 3'!B20, 0.2), PRODUCT('AD Level 4'!B20, 0.1))</f>
        <v>0.49300000000000005</v>
      </c>
      <c r="C20" s="4">
        <f>SUM(PRODUCT('AD Level 1'!C20, 0.4),  PRODUCT('AD Level 2'!C20, 0.3),   PRODUCT('AD Level 3'!C20, 0.2), PRODUCT('AD Level 4'!C20, 0.1))</f>
        <v>0.66999999999999993</v>
      </c>
      <c r="D20" s="4">
        <f>SUM(PRODUCT('AD Level 1'!D20, 0.4),  PRODUCT('AD Level 2'!D20, 0.3),   PRODUCT('AD Level 3'!D20, 0.2), PRODUCT('AD Level 4'!D20, 0.1))</f>
        <v>0.51900000000000002</v>
      </c>
      <c r="E20" s="4">
        <f>SUM(PRODUCT('AD Level 1'!E20, 0.4),  PRODUCT('AD Level 2'!E20, 0.3),   PRODUCT('AD Level 3'!E20, 0.2), PRODUCT('AD Level 4'!E20, 0.1))</f>
        <v>0.58000000000000007</v>
      </c>
      <c r="F20" s="4">
        <f>SUM(PRODUCT('AD Level 1'!F20, 0.4),  PRODUCT('AD Level 2'!F20, 0.3),   PRODUCT('AD Level 3'!F20, 0.2), PRODUCT('AD Level 4'!F20, 0.1))</f>
        <v>0.44100000000000006</v>
      </c>
      <c r="G20" s="4">
        <f>SUM(PRODUCT('AD Level 1'!G20, 0.4),  PRODUCT('AD Level 2'!G20, 0.3),   PRODUCT('AD Level 3'!G20, 0.2), PRODUCT('AD Level 4'!G20, 0.1))</f>
        <v>0.64600000000000002</v>
      </c>
      <c r="H20" s="4">
        <f>SUM(PRODUCT('AD Level 1'!H20, 0.4),  PRODUCT('AD Level 2'!H20, 0.3),   PRODUCT('AD Level 3'!H20, 0.2), PRODUCT('AD Level 4'!H20, 0.1))</f>
        <v>0.46800000000000003</v>
      </c>
      <c r="I20" s="4">
        <f>SUM(PRODUCT('AD Level 1'!I20, 0.4),  PRODUCT('AD Level 2'!I20, 0.3),   PRODUCT('AD Level 3'!I20, 0.2), PRODUCT('AD Level 4'!I20, 0.1))</f>
        <v>0.754</v>
      </c>
      <c r="J20" s="4">
        <f>SUM(PRODUCT('AD Level 1'!J20, 0.4),  PRODUCT('AD Level 2'!J20, 0.3),   PRODUCT('AD Level 3'!J20, 0.2), PRODUCT('AD Level 4'!J20, 0.1))</f>
        <v>0.32000000000000006</v>
      </c>
      <c r="K20" s="4" t="s">
        <v>21</v>
      </c>
    </row>
    <row r="21" spans="1:11" x14ac:dyDescent="0.2">
      <c r="A21" s="3" t="s">
        <v>19</v>
      </c>
      <c r="B21" s="4">
        <f>SUM(PRODUCT('AD Level 1'!B21, 0.4),  PRODUCT('AD Level 2'!B21, 0.3),   PRODUCT('AD Level 3'!B21, 0.2), PRODUCT('AD Level 4'!B21, 0.1))</f>
        <v>0.54300000000000004</v>
      </c>
      <c r="C21" s="4">
        <f>SUM(PRODUCT('AD Level 1'!C21, 0.4),  PRODUCT('AD Level 2'!C21, 0.3),   PRODUCT('AD Level 3'!C21, 0.2), PRODUCT('AD Level 4'!C21, 0.1))</f>
        <v>0.53800000000000003</v>
      </c>
      <c r="D21" s="4">
        <f>SUM(PRODUCT('AD Level 1'!D21, 0.4),  PRODUCT('AD Level 2'!D21, 0.3),   PRODUCT('AD Level 3'!D21, 0.2), PRODUCT('AD Level 4'!D21, 0.1))</f>
        <v>0.65400000000000014</v>
      </c>
      <c r="E21" s="4">
        <f>SUM(PRODUCT('AD Level 1'!E21, 0.4),  PRODUCT('AD Level 2'!E21, 0.3),   PRODUCT('AD Level 3'!E21, 0.2), PRODUCT('AD Level 4'!E21, 0.1))</f>
        <v>0.97699999999999998</v>
      </c>
      <c r="F21" s="4">
        <f>SUM(PRODUCT('AD Level 1'!F21, 0.4),  PRODUCT('AD Level 2'!F21, 0.3),   PRODUCT('AD Level 3'!F21, 0.2), PRODUCT('AD Level 4'!F21, 0.1))</f>
        <v>0.41500000000000004</v>
      </c>
      <c r="G21" s="4">
        <f>SUM(PRODUCT('AD Level 1'!G21, 0.4),  PRODUCT('AD Level 2'!G21, 0.3),   PRODUCT('AD Level 3'!G21, 0.2), PRODUCT('AD Level 4'!G21, 0.1))</f>
        <v>0.78299999999999992</v>
      </c>
      <c r="H21" s="4">
        <f>SUM(PRODUCT('AD Level 1'!H21, 0.4),  PRODUCT('AD Level 2'!H21, 0.3),   PRODUCT('AD Level 3'!H21, 0.2), PRODUCT('AD Level 4'!H21, 0.1))</f>
        <v>0.45899999999999996</v>
      </c>
      <c r="I21" s="4">
        <f>SUM(PRODUCT('AD Level 1'!I21, 0.4),  PRODUCT('AD Level 2'!I21, 0.3),   PRODUCT('AD Level 3'!I21, 0.2), PRODUCT('AD Level 4'!I21, 0.1))</f>
        <v>0.99999999999999989</v>
      </c>
      <c r="J21" s="4">
        <f>SUM(PRODUCT('AD Level 1'!J21, 0.4),  PRODUCT('AD Level 2'!J21, 0.3),   PRODUCT('AD Level 3'!J21, 0.2), PRODUCT('AD Level 4'!J21, 0.1))</f>
        <v>0.21099999999999999</v>
      </c>
      <c r="K21" s="4" t="s">
        <v>21</v>
      </c>
    </row>
    <row r="22" spans="1:11" x14ac:dyDescent="0.2">
      <c r="A22" s="3" t="s">
        <v>20</v>
      </c>
      <c r="B22" s="4">
        <f>SUM(PRODUCT('AD Level 1'!B22, 0.4),  PRODUCT('AD Level 2'!B22, 0.3),   PRODUCT('AD Level 3'!B22, 0.2), PRODUCT('AD Level 4'!B22, 0.1))</f>
        <v>0.20500000000000004</v>
      </c>
      <c r="C22" s="4">
        <f>SUM(PRODUCT('AD Level 1'!C22, 0.4),  PRODUCT('AD Level 2'!C22, 0.3),   PRODUCT('AD Level 3'!C22, 0.2), PRODUCT('AD Level 4'!C22, 0.1))</f>
        <v>0.89600000000000013</v>
      </c>
      <c r="D22" s="4">
        <f>SUM(PRODUCT('AD Level 1'!D22, 0.4),  PRODUCT('AD Level 2'!D22, 0.3),   PRODUCT('AD Level 3'!D22, 0.2), PRODUCT('AD Level 4'!D22, 0.1))</f>
        <v>0.13</v>
      </c>
      <c r="E22" s="4">
        <f>SUM(PRODUCT('AD Level 1'!E22, 0.4),  PRODUCT('AD Level 2'!E22, 0.3),   PRODUCT('AD Level 3'!E22, 0.2), PRODUCT('AD Level 4'!E22, 0.1))</f>
        <v>0.39499999999999996</v>
      </c>
      <c r="F22" s="4">
        <f>SUM(PRODUCT('AD Level 1'!F22, 0.4),  PRODUCT('AD Level 2'!F22, 0.3),   PRODUCT('AD Level 3'!F22, 0.2), PRODUCT('AD Level 4'!F22, 0.1))</f>
        <v>0</v>
      </c>
      <c r="G22" s="4">
        <f>SUM(PRODUCT('AD Level 1'!G22, 0.4),  PRODUCT('AD Level 2'!G22, 0.3),   PRODUCT('AD Level 3'!G22, 0.2), PRODUCT('AD Level 4'!G22, 0.1))</f>
        <v>0</v>
      </c>
      <c r="H22" s="4">
        <f>SUM(PRODUCT('AD Level 1'!H22, 0.4),  PRODUCT('AD Level 2'!H22, 0.3),   PRODUCT('AD Level 3'!H22, 0.2), PRODUCT('AD Level 4'!H22, 0.1))</f>
        <v>7.3000000000000009E-2</v>
      </c>
      <c r="I22" s="4">
        <f>SUM(PRODUCT('AD Level 1'!I22, 0.4),  PRODUCT('AD Level 2'!I22, 0.3),   PRODUCT('AD Level 3'!I22, 0.2), PRODUCT('AD Level 4'!I22, 0.1))</f>
        <v>0.17000000000000004</v>
      </c>
      <c r="J22" s="4">
        <f>SUM(PRODUCT('AD Level 1'!J22, 0.4),  PRODUCT('AD Level 2'!J22, 0.3),   PRODUCT('AD Level 3'!J22, 0.2), PRODUCT('AD Level 4'!J22, 0.1))</f>
        <v>2.4E-2</v>
      </c>
      <c r="K22" s="4" t="s">
        <v>21</v>
      </c>
    </row>
    <row r="23" spans="1:11" x14ac:dyDescent="0.2">
      <c r="A23" s="5" t="s">
        <v>14</v>
      </c>
      <c r="B23" s="6">
        <f>SUM(PRODUCT('AD Level 1'!B23, 0.4),  PRODUCT('AD Level 2'!B23, 0.3),   PRODUCT('AD Level 3'!B23, 0.2), PRODUCT('AD Level 4'!B23, 0.1))</f>
        <v>0.664744</v>
      </c>
      <c r="C23" s="6">
        <f>SUM(PRODUCT('AD Level 1'!C23, 0.4),  PRODUCT('AD Level 2'!C23, 0.3),   PRODUCT('AD Level 3'!C23, 0.2), PRODUCT('AD Level 4'!C23, 0.1))</f>
        <v>0.63114599999999998</v>
      </c>
      <c r="D23" s="6">
        <f>SUM(PRODUCT('AD Level 1'!D23, 0.4),  PRODUCT('AD Level 2'!D23, 0.3),   PRODUCT('AD Level 3'!D23, 0.2), PRODUCT('AD Level 4'!D23, 0.1))</f>
        <v>0.71121100000000004</v>
      </c>
      <c r="E23" s="6">
        <f>SUM(PRODUCT('AD Level 1'!E23, 0.4),  PRODUCT('AD Level 2'!E23, 0.3),   PRODUCT('AD Level 3'!E23, 0.2), PRODUCT('AD Level 4'!E23, 0.1))</f>
        <v>0.91675200000000001</v>
      </c>
      <c r="F23" s="6">
        <f>SUM(PRODUCT('AD Level 1'!F23, 0.4),  PRODUCT('AD Level 2'!F23, 0.3),   PRODUCT('AD Level 3'!F23, 0.2), PRODUCT('AD Level 4'!F23, 0.1))</f>
        <v>0.89975700000000003</v>
      </c>
      <c r="G23" s="6">
        <f>SUM(PRODUCT('AD Level 1'!G23, 0.4),  PRODUCT('AD Level 2'!G23, 0.3),   PRODUCT('AD Level 3'!G23, 0.2), PRODUCT('AD Level 4'!G23, 0.1))</f>
        <v>0.73927500000000002</v>
      </c>
      <c r="H23" s="6">
        <f>SUM(PRODUCT('AD Level 1'!H23, 0.4),  PRODUCT('AD Level 2'!H23, 0.3),   PRODUCT('AD Level 3'!H23, 0.2), PRODUCT('AD Level 4'!H23, 0.1))</f>
        <v>0.52739600000000009</v>
      </c>
      <c r="I23" s="6">
        <f>SUM(PRODUCT('AD Level 1'!I23, 0.4),  PRODUCT('AD Level 2'!I23, 0.3),   PRODUCT('AD Level 3'!I23, 0.2), PRODUCT('AD Level 4'!I23, 0.1))</f>
        <v>0.67491900000000016</v>
      </c>
      <c r="J23" s="6">
        <f>SUM(PRODUCT('AD Level 1'!J23, 0.4),  PRODUCT('AD Level 2'!J23, 0.3),   PRODUCT('AD Level 3'!J23, 0.2), PRODUCT('AD Level 4'!J23, 0.1))</f>
        <v>0.58643299999999998</v>
      </c>
      <c r="K23" s="6">
        <f>SUM(PRODUCT('AD Level 1'!K23, 0.4),  PRODUCT('AD Level 2'!K23, 0.3),   PRODUCT('AD Level 3'!K23, 0.2), PRODUCT('AD Level 4'!K23, 0.1))</f>
        <v>0.57361399999999996</v>
      </c>
    </row>
    <row r="24" spans="1:11" x14ac:dyDescent="0.2">
      <c r="A24" s="5" t="s">
        <v>15</v>
      </c>
      <c r="B24" s="6">
        <f>SUM(PRODUCT('AD Level 1'!B24, 0.4),  PRODUCT('AD Level 2'!B24, 0.3),   PRODUCT('AD Level 3'!B24, 0.2), PRODUCT('AD Level 4'!B24, 0.1))</f>
        <v>0.66795499999999997</v>
      </c>
      <c r="C24" s="6">
        <f>SUM(PRODUCT('AD Level 1'!C24, 0.4),  PRODUCT('AD Level 2'!C24, 0.3),   PRODUCT('AD Level 3'!C24, 0.2), PRODUCT('AD Level 4'!C24, 0.1))</f>
        <v>0.66276400000000002</v>
      </c>
      <c r="D24" s="6">
        <f>SUM(PRODUCT('AD Level 1'!D24, 0.4),  PRODUCT('AD Level 2'!D24, 0.3),   PRODUCT('AD Level 3'!D24, 0.2), PRODUCT('AD Level 4'!D24, 0.1))</f>
        <v>0.68304999999999993</v>
      </c>
      <c r="E24" s="6">
        <f>SUM(PRODUCT('AD Level 1'!E24, 0.4),  PRODUCT('AD Level 2'!E24, 0.3),   PRODUCT('AD Level 3'!E24, 0.2), PRODUCT('AD Level 4'!E24, 0.1))</f>
        <v>0.90694900000000001</v>
      </c>
      <c r="F24" s="6">
        <f>SUM(PRODUCT('AD Level 1'!F24, 0.4),  PRODUCT('AD Level 2'!F24, 0.3),   PRODUCT('AD Level 3'!F24, 0.2), PRODUCT('AD Level 4'!F24, 0.1))</f>
        <v>0.88940000000000008</v>
      </c>
      <c r="G24" s="6">
        <f>SUM(PRODUCT('AD Level 1'!G24, 0.4),  PRODUCT('AD Level 2'!G24, 0.3),   PRODUCT('AD Level 3'!G24, 0.2), PRODUCT('AD Level 4'!G24, 0.1))</f>
        <v>0.78827099999999994</v>
      </c>
      <c r="H24" s="6">
        <f>SUM(PRODUCT('AD Level 1'!H24, 0.4),  PRODUCT('AD Level 2'!H24, 0.3),   PRODUCT('AD Level 3'!H24, 0.2), PRODUCT('AD Level 4'!H24, 0.1))</f>
        <v>0.40836600000000006</v>
      </c>
      <c r="I24" s="6">
        <f>SUM(PRODUCT('AD Level 1'!I24, 0.4),  PRODUCT('AD Level 2'!I24, 0.3),   PRODUCT('AD Level 3'!I24, 0.2), PRODUCT('AD Level 4'!I24, 0.1))</f>
        <v>0.65778000000000014</v>
      </c>
      <c r="J24" s="6">
        <f>SUM(PRODUCT('AD Level 1'!J24, 0.4),  PRODUCT('AD Level 2'!J24, 0.3),   PRODUCT('AD Level 3'!J24, 0.2), PRODUCT('AD Level 4'!J24, 0.1))</f>
        <v>0.57338699999999998</v>
      </c>
      <c r="K24" s="6">
        <f>SUM(PRODUCT('AD Level 1'!K24, 0.4),  PRODUCT('AD Level 2'!K24, 0.3),   PRODUCT('AD Level 3'!K24, 0.2), PRODUCT('AD Level 4'!K24, 0.1))</f>
        <v>0.56753299999999995</v>
      </c>
    </row>
    <row r="25" spans="1:11" x14ac:dyDescent="0.2">
      <c r="A25" s="5" t="s">
        <v>16</v>
      </c>
      <c r="B25" s="6">
        <f>SUM(PRODUCT('AD Level 1'!B25, 0.4),  PRODUCT('AD Level 2'!B25, 0.3),   PRODUCT('AD Level 3'!B25, 0.2), PRODUCT('AD Level 4'!B25, 0.1))</f>
        <v>0.64014700000000002</v>
      </c>
      <c r="C25" s="6">
        <f>SUM(PRODUCT('AD Level 1'!C25, 0.4),  PRODUCT('AD Level 2'!C25, 0.3),   PRODUCT('AD Level 3'!C25, 0.2), PRODUCT('AD Level 4'!C25, 0.1))</f>
        <v>0.57730100000000006</v>
      </c>
      <c r="D25" s="6">
        <f>SUM(PRODUCT('AD Level 1'!D25, 0.4),  PRODUCT('AD Level 2'!D25, 0.3),   PRODUCT('AD Level 3'!D25, 0.2), PRODUCT('AD Level 4'!D25, 0.1))</f>
        <v>0.72189300000000001</v>
      </c>
      <c r="E25" s="6">
        <f>SUM(PRODUCT('AD Level 1'!E25, 0.4),  PRODUCT('AD Level 2'!E25, 0.3),   PRODUCT('AD Level 3'!E25, 0.2), PRODUCT('AD Level 4'!E25, 0.1))</f>
        <v>0.96027799999999996</v>
      </c>
      <c r="F25" s="6">
        <f>SUM(PRODUCT('AD Level 1'!F25, 0.4),  PRODUCT('AD Level 2'!F25, 0.3),   PRODUCT('AD Level 3'!F25, 0.2), PRODUCT('AD Level 4'!F25, 0.1))</f>
        <v>0.91082200000000002</v>
      </c>
      <c r="G25" s="6">
        <f>SUM(PRODUCT('AD Level 1'!G25, 0.4),  PRODUCT('AD Level 2'!G25, 0.3),   PRODUCT('AD Level 3'!G25, 0.2), PRODUCT('AD Level 4'!G25, 0.1))</f>
        <v>0.71188799999999997</v>
      </c>
      <c r="H25" s="6">
        <f>SUM(PRODUCT('AD Level 1'!H25, 0.4),  PRODUCT('AD Level 2'!H25, 0.3),   PRODUCT('AD Level 3'!H25, 0.2), PRODUCT('AD Level 4'!H25, 0.1))</f>
        <v>0.5282420000000001</v>
      </c>
      <c r="I25" s="6">
        <f>SUM(PRODUCT('AD Level 1'!I25, 0.4),  PRODUCT('AD Level 2'!I25, 0.3),   PRODUCT('AD Level 3'!I25, 0.2), PRODUCT('AD Level 4'!I25, 0.1))</f>
        <v>0.67491900000000016</v>
      </c>
      <c r="J25" s="6">
        <f>SUM(PRODUCT('AD Level 1'!J25, 0.4),  PRODUCT('AD Level 2'!J25, 0.3),   PRODUCT('AD Level 3'!J25, 0.2), PRODUCT('AD Level 4'!J25, 0.1))</f>
        <v>0.59155599999999997</v>
      </c>
      <c r="K25" s="6">
        <f>SUM(PRODUCT('AD Level 1'!K25, 0.4),  PRODUCT('AD Level 2'!K25, 0.3),   PRODUCT('AD Level 3'!K25, 0.2), PRODUCT('AD Level 4'!K25, 0.1))</f>
        <v>0.59042499999999998</v>
      </c>
    </row>
    <row r="26" spans="1:11" x14ac:dyDescent="0.2">
      <c r="A26" s="5" t="s">
        <v>17</v>
      </c>
      <c r="B26" s="6">
        <f>SUM(PRODUCT('AD Level 1'!B26, 0.4),  PRODUCT('AD Level 2'!B26, 0.3),   PRODUCT('AD Level 3'!B26, 0.2), PRODUCT('AD Level 4'!B26, 0.1))</f>
        <v>0.66993999999999998</v>
      </c>
      <c r="C26" s="6">
        <f>SUM(PRODUCT('AD Level 1'!C26, 0.4),  PRODUCT('AD Level 2'!C26, 0.3),   PRODUCT('AD Level 3'!C26, 0.2), PRODUCT('AD Level 4'!C26, 0.1))</f>
        <v>0.64785700000000002</v>
      </c>
      <c r="D26" s="6">
        <f>SUM(PRODUCT('AD Level 1'!D26, 0.4),  PRODUCT('AD Level 2'!D26, 0.3),   PRODUCT('AD Level 3'!D26, 0.2), PRODUCT('AD Level 4'!D26, 0.1))</f>
        <v>0.69831799999999999</v>
      </c>
      <c r="E26" s="6">
        <f>SUM(PRODUCT('AD Level 1'!E26, 0.4),  PRODUCT('AD Level 2'!E26, 0.3),   PRODUCT('AD Level 3'!E26, 0.2), PRODUCT('AD Level 4'!E26, 0.1))</f>
        <v>0.95735899999999996</v>
      </c>
      <c r="F26" s="6">
        <f>SUM(PRODUCT('AD Level 1'!F26, 0.4),  PRODUCT('AD Level 2'!F26, 0.3),   PRODUCT('AD Level 3'!F26, 0.2), PRODUCT('AD Level 4'!F26, 0.1))</f>
        <v>0.90033300000000005</v>
      </c>
      <c r="G26" s="6">
        <f>SUM(PRODUCT('AD Level 1'!G26, 0.4),  PRODUCT('AD Level 2'!G26, 0.3),   PRODUCT('AD Level 3'!G26, 0.2), PRODUCT('AD Level 4'!G26, 0.1))</f>
        <v>0.78376699999999999</v>
      </c>
      <c r="H26" s="6">
        <f>SUM(PRODUCT('AD Level 1'!H26, 0.4),  PRODUCT('AD Level 2'!H26, 0.3),   PRODUCT('AD Level 3'!H26, 0.2), PRODUCT('AD Level 4'!H26, 0.1))</f>
        <v>0.40848700000000004</v>
      </c>
      <c r="I26" s="6">
        <f>SUM(PRODUCT('AD Level 1'!I26, 0.4),  PRODUCT('AD Level 2'!I26, 0.3),   PRODUCT('AD Level 3'!I26, 0.2), PRODUCT('AD Level 4'!I26, 0.1))</f>
        <v>0.65778000000000014</v>
      </c>
      <c r="J26" s="6">
        <f>SUM(PRODUCT('AD Level 1'!J26, 0.4),  PRODUCT('AD Level 2'!J26, 0.3),   PRODUCT('AD Level 3'!J26, 0.2), PRODUCT('AD Level 4'!J26, 0.1))</f>
        <v>0.57852799999999993</v>
      </c>
      <c r="K26" s="6">
        <f>SUM(PRODUCT('AD Level 1'!K26, 0.4),  PRODUCT('AD Level 2'!K26, 0.3),   PRODUCT('AD Level 3'!K26, 0.2), PRODUCT('AD Level 4'!K26, 0.1))</f>
        <v>0.57881300000000002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AD Level 1</vt:lpstr>
      <vt:lpstr>AD Level 2</vt:lpstr>
      <vt:lpstr>AD Level 3</vt:lpstr>
      <vt:lpstr>AD Level 4</vt:lpstr>
      <vt:lpstr>Overall AD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Cansu Uzuntürk</cp:lastModifiedBy>
  <dcterms:created xsi:type="dcterms:W3CDTF">2025-04-08T12:20:30Z</dcterms:created>
  <dcterms:modified xsi:type="dcterms:W3CDTF">2025-05-21T18:17:11Z</dcterms:modified>
</cp:coreProperties>
</file>